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Computer Course (Theory)\Projects\Excel\"/>
    </mc:Choice>
  </mc:AlternateContent>
  <xr:revisionPtr revIDLastSave="0" documentId="13_ncr:1_{99B7B205-FB25-4ECC-A3CC-132FE13FE919}" xr6:coauthVersionLast="47" xr6:coauthVersionMax="47" xr10:uidLastSave="{00000000-0000-0000-0000-000000000000}"/>
  <bookViews>
    <workbookView xWindow="-120" yWindow="-120" windowWidth="20730" windowHeight="11310" tabRatio="850" activeTab="11" xr2:uid="{C57BC161-C8F7-47CF-854D-CBA5047EF2FA}"/>
  </bookViews>
  <sheets>
    <sheet name="Sales_Rep_Info" sheetId="8" r:id="rId1"/>
    <sheet name="Expenses" sheetId="7" r:id="rId2"/>
    <sheet name="Sales_Targets" sheetId="6" r:id="rId3"/>
    <sheet name="Revenue_Analysis" sheetId="9" r:id="rId4"/>
    <sheet name="Sales_Rep_Performance" sheetId="10" r:id="rId5"/>
    <sheet name="Product_Performance" sheetId="11" r:id="rId6"/>
    <sheet name="Dashboard" sheetId="12" r:id="rId7"/>
    <sheet name="Visualizations" sheetId="14" r:id="rId8"/>
    <sheet name="Scenario Summary" sheetId="15" r:id="rId9"/>
    <sheet name="What if analysis" sheetId="13" r:id="rId10"/>
    <sheet name="Sales_Data" sheetId="5" r:id="rId11"/>
    <sheet name="Executive Summary" sheetId="16" r:id="rId12"/>
  </sheets>
  <definedNames>
    <definedName name="ExternalData_1" localSheetId="10" hidden="1">Sales_Data!$A$1:$P$26</definedName>
    <definedName name="ExternalData_2" localSheetId="2" hidden="1">Sales_Targets!$A$1:$D$37</definedName>
    <definedName name="ExternalData_3" localSheetId="1" hidden="1">Expenses!$A$1:$D$19</definedName>
    <definedName name="ExternalData_4" localSheetId="0" hidden="1">Sales_Rep_Info!$A$1:$E$5</definedName>
    <definedName name="Slicer_Month1">#N/A</definedName>
    <definedName name="Slicer_Product_Category">#N/A</definedName>
    <definedName name="Slicer_Region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6" l="1"/>
  <c r="B14" i="16"/>
  <c r="B13" i="16"/>
  <c r="B7" i="16"/>
  <c r="B4" i="16"/>
  <c r="B5" i="16"/>
  <c r="P8" i="13"/>
  <c r="Q8" i="13" s="1"/>
  <c r="L11" i="13" s="1"/>
  <c r="N4" i="13"/>
  <c r="M4" i="13"/>
  <c r="I3" i="13"/>
  <c r="I4" i="13"/>
  <c r="I5" i="13"/>
  <c r="I6" i="13"/>
  <c r="I7" i="13"/>
  <c r="I8" i="13"/>
  <c r="I9" i="13"/>
  <c r="I10" i="13"/>
  <c r="I11" i="13"/>
  <c r="I12" i="13"/>
  <c r="I13" i="13"/>
  <c r="I14" i="13"/>
  <c r="I15" i="13"/>
  <c r="I16" i="13"/>
  <c r="I17" i="13"/>
  <c r="I18" i="13"/>
  <c r="I19" i="13"/>
  <c r="I20" i="13"/>
  <c r="I21" i="13"/>
  <c r="I22" i="13"/>
  <c r="I23" i="13"/>
  <c r="I24" i="13"/>
  <c r="I25" i="13"/>
  <c r="I26" i="13"/>
  <c r="I2" i="13"/>
  <c r="L4" i="13" s="1"/>
  <c r="B3" i="13"/>
  <c r="B4" i="13"/>
  <c r="B5" i="13"/>
  <c r="B6" i="13"/>
  <c r="B7" i="13"/>
  <c r="B8" i="13"/>
  <c r="B9" i="13"/>
  <c r="B10" i="13"/>
  <c r="B11" i="13"/>
  <c r="B12" i="13"/>
  <c r="B13" i="13"/>
  <c r="B14" i="13"/>
  <c r="B15" i="13"/>
  <c r="B16" i="13"/>
  <c r="B17" i="13"/>
  <c r="B18" i="13"/>
  <c r="B19" i="13"/>
  <c r="B20" i="13"/>
  <c r="B21" i="13"/>
  <c r="B22" i="13"/>
  <c r="B23" i="13"/>
  <c r="B24" i="13"/>
  <c r="B25" i="13"/>
  <c r="B26" i="13"/>
  <c r="B2" i="13"/>
  <c r="E2" i="12"/>
  <c r="D3" i="12"/>
  <c r="D4" i="12"/>
  <c r="D5" i="12"/>
  <c r="C2" i="12"/>
  <c r="C3" i="12"/>
  <c r="C4" i="12"/>
  <c r="C5" i="12"/>
  <c r="F3" i="12"/>
  <c r="F4" i="12"/>
  <c r="F5" i="12"/>
  <c r="F2" i="12"/>
  <c r="E3" i="12"/>
  <c r="E4" i="12"/>
  <c r="E5" i="12"/>
  <c r="D2" i="12"/>
  <c r="V2" i="5"/>
  <c r="V3" i="5"/>
  <c r="V4" i="5"/>
  <c r="V5" i="5"/>
  <c r="V6" i="5"/>
  <c r="V7" i="5"/>
  <c r="V8" i="5"/>
  <c r="V9" i="5"/>
  <c r="V10" i="5"/>
  <c r="V11" i="5"/>
  <c r="V12" i="5"/>
  <c r="V13" i="5"/>
  <c r="V14" i="5"/>
  <c r="V15" i="5"/>
  <c r="V16" i="5"/>
  <c r="V17" i="5"/>
  <c r="V18" i="5"/>
  <c r="V19" i="5"/>
  <c r="V20" i="5"/>
  <c r="V21" i="5"/>
  <c r="V22" i="5"/>
  <c r="V23" i="5"/>
  <c r="V24" i="5"/>
  <c r="V25" i="5"/>
  <c r="V26" i="5"/>
  <c r="U2" i="5" a="1"/>
  <c r="U2" i="5" s="1"/>
  <c r="U3" i="5" a="1"/>
  <c r="U3" i="5" s="1"/>
  <c r="U4" i="5" a="1"/>
  <c r="U4" i="5" s="1"/>
  <c r="U5" i="5" a="1"/>
  <c r="U5" i="5" s="1"/>
  <c r="U6" i="5" a="1"/>
  <c r="U6" i="5" s="1"/>
  <c r="U7" i="5" a="1"/>
  <c r="U7" i="5" s="1"/>
  <c r="U8" i="5" a="1"/>
  <c r="U8" i="5" s="1"/>
  <c r="U9" i="5" a="1"/>
  <c r="U9" i="5" s="1"/>
  <c r="U10" i="5" a="1"/>
  <c r="U10" i="5" s="1"/>
  <c r="U11" i="5" a="1"/>
  <c r="U11" i="5" s="1"/>
  <c r="U12" i="5" a="1"/>
  <c r="U12" i="5" s="1"/>
  <c r="U13" i="5" a="1"/>
  <c r="U13" i="5" s="1"/>
  <c r="U14" i="5" a="1"/>
  <c r="U14" i="5" s="1"/>
  <c r="U15" i="5" a="1"/>
  <c r="U15" i="5" s="1"/>
  <c r="U16" i="5" a="1"/>
  <c r="U16" i="5" s="1"/>
  <c r="U17" i="5" a="1"/>
  <c r="U17" i="5" s="1"/>
  <c r="U18" i="5" a="1"/>
  <c r="U18" i="5" s="1"/>
  <c r="U19" i="5" a="1"/>
  <c r="U19" i="5" s="1"/>
  <c r="U20" i="5" a="1"/>
  <c r="U20" i="5" s="1"/>
  <c r="U21" i="5" a="1"/>
  <c r="U21" i="5" s="1"/>
  <c r="U22" i="5" a="1"/>
  <c r="U22" i="5" s="1"/>
  <c r="U23" i="5" a="1"/>
  <c r="U23" i="5" s="1"/>
  <c r="U24" i="5" a="1"/>
  <c r="U24" i="5" s="1"/>
  <c r="U25" i="5" a="1"/>
  <c r="U25" i="5" s="1"/>
  <c r="U26" i="5" a="1"/>
  <c r="U26" i="5" s="1"/>
  <c r="AA2" i="5" a="1"/>
  <c r="AA2" i="5" s="1"/>
  <c r="T3" i="5"/>
  <c r="T4" i="5"/>
  <c r="T5" i="5"/>
  <c r="T6" i="5"/>
  <c r="T7" i="5"/>
  <c r="T8" i="5"/>
  <c r="T9" i="5"/>
  <c r="T10" i="5"/>
  <c r="T11" i="5"/>
  <c r="T12" i="5"/>
  <c r="T13" i="5"/>
  <c r="T14" i="5"/>
  <c r="T15" i="5"/>
  <c r="T16" i="5"/>
  <c r="T17" i="5"/>
  <c r="T18" i="5"/>
  <c r="T19" i="5"/>
  <c r="T20" i="5"/>
  <c r="T21" i="5"/>
  <c r="T22" i="5"/>
  <c r="T23" i="5"/>
  <c r="T24" i="5"/>
  <c r="T25" i="5"/>
  <c r="T26" i="5"/>
  <c r="T2" i="5"/>
  <c r="S26" i="5"/>
  <c r="Q26" i="5"/>
  <c r="S25" i="5"/>
  <c r="Q25" i="5"/>
  <c r="S24" i="5"/>
  <c r="Q24" i="5"/>
  <c r="S23" i="5"/>
  <c r="Q23" i="5"/>
  <c r="S22" i="5"/>
  <c r="Q22" i="5"/>
  <c r="S21" i="5"/>
  <c r="Q21" i="5"/>
  <c r="S20" i="5"/>
  <c r="Q20" i="5"/>
  <c r="S19" i="5"/>
  <c r="Q19" i="5"/>
  <c r="S18" i="5"/>
  <c r="Q18" i="5"/>
  <c r="S17" i="5"/>
  <c r="Q17" i="5"/>
  <c r="S16" i="5"/>
  <c r="Q16" i="5"/>
  <c r="S15" i="5"/>
  <c r="Q15" i="5"/>
  <c r="S14" i="5"/>
  <c r="Q14" i="5"/>
  <c r="S13" i="5"/>
  <c r="Q13" i="5"/>
  <c r="S12" i="5"/>
  <c r="Q12" i="5"/>
  <c r="S11" i="5"/>
  <c r="Q11" i="5"/>
  <c r="S10" i="5"/>
  <c r="Q10" i="5"/>
  <c r="S9" i="5"/>
  <c r="Q9" i="5"/>
  <c r="S8" i="5"/>
  <c r="Q8" i="5"/>
  <c r="S7" i="5"/>
  <c r="Q7" i="5"/>
  <c r="S6" i="5"/>
  <c r="Q6" i="5"/>
  <c r="S5" i="5"/>
  <c r="Q5" i="5"/>
  <c r="S4" i="5"/>
  <c r="Q4" i="5"/>
  <c r="S3" i="5"/>
  <c r="Q3" i="5"/>
  <c r="S2" i="5"/>
  <c r="Q2" i="5"/>
  <c r="M2" i="5"/>
  <c r="M3" i="5"/>
  <c r="M4" i="5"/>
  <c r="M5" i="5"/>
  <c r="M6" i="5"/>
  <c r="M7" i="5"/>
  <c r="M8" i="5"/>
  <c r="M9" i="5"/>
  <c r="M10" i="5"/>
  <c r="M11" i="5"/>
  <c r="R11" i="5" s="1"/>
  <c r="M12" i="5"/>
  <c r="M13" i="5"/>
  <c r="M14" i="5"/>
  <c r="M15" i="5"/>
  <c r="M16" i="5"/>
  <c r="M17" i="5"/>
  <c r="M18" i="5"/>
  <c r="M19" i="5"/>
  <c r="M20" i="5"/>
  <c r="M21" i="5"/>
  <c r="M22" i="5"/>
  <c r="M23" i="5"/>
  <c r="M24" i="5"/>
  <c r="M25" i="5"/>
  <c r="M26" i="5"/>
  <c r="C6" i="12" l="1"/>
  <c r="D6" i="12"/>
  <c r="F6" i="12"/>
  <c r="E6" i="12"/>
  <c r="R23" i="5"/>
  <c r="AF2" i="5"/>
  <c r="AB2" i="5"/>
  <c r="AF11" i="5"/>
  <c r="AB11" i="5"/>
  <c r="AF10" i="5"/>
  <c r="AB10" i="5"/>
  <c r="AF9" i="5"/>
  <c r="AB9" i="5"/>
  <c r="AF8" i="5"/>
  <c r="AB8" i="5"/>
  <c r="AF7" i="5"/>
  <c r="AB7" i="5"/>
  <c r="AF6" i="5"/>
  <c r="AB6" i="5"/>
  <c r="AF5" i="5"/>
  <c r="AB5" i="5"/>
  <c r="AF4" i="5"/>
  <c r="AB4" i="5"/>
  <c r="AF3" i="5"/>
  <c r="AB3" i="5"/>
  <c r="R22" i="5"/>
  <c r="R10" i="5"/>
  <c r="R21" i="5"/>
  <c r="R9" i="5"/>
  <c r="R18" i="5"/>
  <c r="R16" i="5"/>
  <c r="R20" i="5"/>
  <c r="R19" i="5"/>
  <c r="R5" i="5"/>
  <c r="R15" i="5"/>
  <c r="R13" i="5"/>
  <c r="R14" i="5"/>
  <c r="R2" i="5"/>
  <c r="R25" i="5"/>
  <c r="R24" i="5"/>
  <c r="R6" i="5"/>
  <c r="R7" i="5"/>
  <c r="R26" i="5"/>
  <c r="R17" i="5"/>
  <c r="R3" i="5"/>
  <c r="R4" i="5"/>
  <c r="R8" i="5"/>
  <c r="R12" i="5"/>
  <c r="Q1048576" i="5"/>
  <c r="AG2" i="5" l="1" a="1"/>
  <c r="AG2" i="5" s="1"/>
  <c r="AC2" i="5" a="1"/>
  <c r="AC2" i="5" s="1"/>
  <c r="AF104857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ADD738-8D56-4603-9694-19C0BEBB48DD}" keepAlive="1" name="Query - Expenses" description="Connection to the 'Expenses' query in the workbook." type="5" refreshedVersion="8" background="1" saveData="1">
    <dbPr connection="Provider=Microsoft.Mashup.OleDb.1;Data Source=$Workbook$;Location=Expenses;Extended Properties=&quot;&quot;" command="SELECT * FROM [Expenses]"/>
  </connection>
  <connection id="2" xr16:uid="{8B6BFF6F-DAF5-4C56-8995-A87AB8D802D2}"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3" xr16:uid="{BDD85553-6D1A-4B2C-8D10-5BED353B3054}" keepAlive="1" name="Query - Sales_Rep_Info" description="Connection to the 'Sales_Rep_Info' query in the workbook." type="5" refreshedVersion="8" background="1" saveData="1">
    <dbPr connection="Provider=Microsoft.Mashup.OleDb.1;Data Source=$Workbook$;Location=Sales_Rep_Info;Extended Properties=&quot;&quot;" command="SELECT * FROM [Sales_Rep_Info]"/>
  </connection>
  <connection id="4" xr16:uid="{FFAA3C28-BAD6-4511-B3BD-575E12825BA4}" keepAlive="1" name="Query - Sales_Targets" description="Connection to the 'Sales_Targets' query in the workbook." type="5" refreshedVersion="8" background="1" saveData="1">
    <dbPr connection="Provider=Microsoft.Mashup.OleDb.1;Data Source=$Workbook$;Location=Sales_Targets;Extended Properties=&quot;&quot;" command="SELECT * FROM [Sales_Targe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<sst xmlns="http://schemas.openxmlformats.org/spreadsheetml/2006/main" count="587" uniqueCount="149">
  <si>
    <t>Sales_Rep</t>
  </si>
  <si>
    <t>Region</t>
  </si>
  <si>
    <t>Date</t>
  </si>
  <si>
    <t>Product_Category</t>
  </si>
  <si>
    <t>Product</t>
  </si>
  <si>
    <t>Units_Sold</t>
  </si>
  <si>
    <t>Unit_Price</t>
  </si>
  <si>
    <t>Total_Revenue</t>
  </si>
  <si>
    <t>Cost_Per_Unit</t>
  </si>
  <si>
    <t>Profit</t>
  </si>
  <si>
    <t>Month</t>
  </si>
  <si>
    <t>Year</t>
  </si>
  <si>
    <t>Commission-Amount</t>
  </si>
  <si>
    <t>January</t>
  </si>
  <si>
    <t>February</t>
  </si>
  <si>
    <t>March</t>
  </si>
  <si>
    <t>Quarter</t>
  </si>
  <si>
    <t>Days_since_hire</t>
  </si>
  <si>
    <t>Commission_Rate</t>
  </si>
  <si>
    <t>Commission_Amount</t>
  </si>
  <si>
    <t>East</t>
  </si>
  <si>
    <t>Target_Revenue</t>
  </si>
  <si>
    <t>Category</t>
  </si>
  <si>
    <t>North</t>
  </si>
  <si>
    <t>Electronics</t>
  </si>
  <si>
    <t>Furniture</t>
  </si>
  <si>
    <t>OfficeSupplies</t>
  </si>
  <si>
    <t>South</t>
  </si>
  <si>
    <t>West</t>
  </si>
  <si>
    <t>ProfitMargin</t>
  </si>
  <si>
    <t>Sales_Rep_Info.Commission_Rate</t>
  </si>
  <si>
    <t>Totalrevenuebyregionandmonth</t>
  </si>
  <si>
    <t>Totalprofitbyproductcategoryandquarter</t>
  </si>
  <si>
    <t>Laptop</t>
  </si>
  <si>
    <t>JohnSmith</t>
  </si>
  <si>
    <t>Desk</t>
  </si>
  <si>
    <t>EmmaDavis</t>
  </si>
  <si>
    <t>Monitor</t>
  </si>
  <si>
    <t>CarlosLee</t>
  </si>
  <si>
    <t>Printer</t>
  </si>
  <si>
    <t>SarahChen</t>
  </si>
  <si>
    <t>Chair</t>
  </si>
  <si>
    <t>Tablet</t>
  </si>
  <si>
    <t>Paper</t>
  </si>
  <si>
    <t>Cabinet</t>
  </si>
  <si>
    <t>Toner</t>
  </si>
  <si>
    <t>Pens</t>
  </si>
  <si>
    <t>Department</t>
  </si>
  <si>
    <t>Expense_Category</t>
  </si>
  <si>
    <t>Amount</t>
  </si>
  <si>
    <t>Sales</t>
  </si>
  <si>
    <t>Marketing</t>
  </si>
  <si>
    <t>Travel</t>
  </si>
  <si>
    <t>Operations</t>
  </si>
  <si>
    <t>Rent</t>
  </si>
  <si>
    <t>Utilities</t>
  </si>
  <si>
    <t>HR</t>
  </si>
  <si>
    <t>Salaries</t>
  </si>
  <si>
    <t>Training</t>
  </si>
  <si>
    <t>Hire_Date</t>
  </si>
  <si>
    <t>Unique_Product</t>
  </si>
  <si>
    <t>Revenue_per_product</t>
  </si>
  <si>
    <t>Bottom_3_products_profit_margin</t>
  </si>
  <si>
    <t>Top_3_product&amp;Amount_revenue</t>
  </si>
  <si>
    <t>avg_profit_margin_per_product</t>
  </si>
  <si>
    <t>Sales_CAtagory</t>
  </si>
  <si>
    <t>Flag/Thresold</t>
  </si>
  <si>
    <t>Row Labels</t>
  </si>
  <si>
    <t>Grand Total</t>
  </si>
  <si>
    <t>Column Labels</t>
  </si>
  <si>
    <t>Sum of Total_Revenue</t>
  </si>
  <si>
    <t>Total Sum of Total_Revenue</t>
  </si>
  <si>
    <t>Total Sum of ProfitMargin</t>
  </si>
  <si>
    <t>Sum of ProfitMargin</t>
  </si>
  <si>
    <t>Total Sum of Revenue_vs_Target%</t>
  </si>
  <si>
    <t>Sum of Revenue_vs_Target%</t>
  </si>
  <si>
    <t>Count of Sales_Rep</t>
  </si>
  <si>
    <t>Sum of Commission_Amount</t>
  </si>
  <si>
    <t>Sum of Units_Sold</t>
  </si>
  <si>
    <t>Sum of Profit</t>
  </si>
  <si>
    <t>Total Revenue (YTD)</t>
  </si>
  <si>
    <t>Total Profit (YTD)</t>
  </si>
  <si>
    <t xml:space="preserve">Total </t>
  </si>
  <si>
    <t>Avg Profit Margin</t>
  </si>
  <si>
    <t>No of Transactions</t>
  </si>
  <si>
    <t>Sum of Target_Revenue</t>
  </si>
  <si>
    <t>Sum of Commission-Amount</t>
  </si>
  <si>
    <t>Revenue</t>
  </si>
  <si>
    <t xml:space="preserve">Date        </t>
  </si>
  <si>
    <t xml:space="preserve"> Region      </t>
  </si>
  <si>
    <t xml:space="preserve"> Product_Category </t>
  </si>
  <si>
    <t xml:space="preserve"> Product      </t>
  </si>
  <si>
    <t xml:space="preserve"> Sales_Rep   </t>
  </si>
  <si>
    <t xml:space="preserve"> Units_Sold </t>
  </si>
  <si>
    <t xml:space="preserve"> Unit_Price </t>
  </si>
  <si>
    <t xml:space="preserve"> Total_Revenue </t>
  </si>
  <si>
    <t xml:space="preserve"> Cost_Per_Unit</t>
  </si>
  <si>
    <t xml:space="preserve"> North       </t>
  </si>
  <si>
    <t xml:space="preserve"> Electronics      </t>
  </si>
  <si>
    <t xml:space="preserve"> Laptop       </t>
  </si>
  <si>
    <t xml:space="preserve"> John Smith  </t>
  </si>
  <si>
    <t xml:space="preserve"> South       </t>
  </si>
  <si>
    <t xml:space="preserve"> Furniture        </t>
  </si>
  <si>
    <t xml:space="preserve"> Desk         </t>
  </si>
  <si>
    <t xml:space="preserve"> Emma Davis  </t>
  </si>
  <si>
    <t xml:space="preserve"> East        </t>
  </si>
  <si>
    <t xml:space="preserve"> Monitor      </t>
  </si>
  <si>
    <t xml:space="preserve"> Carlos Lee  </t>
  </si>
  <si>
    <t xml:space="preserve"> West        </t>
  </si>
  <si>
    <t xml:space="preserve"> Office Supplies  </t>
  </si>
  <si>
    <t xml:space="preserve"> Printer      </t>
  </si>
  <si>
    <t xml:space="preserve"> Sarah Chen  </t>
  </si>
  <si>
    <t xml:space="preserve"> Chair        </t>
  </si>
  <si>
    <t xml:space="preserve"> Tablet       </t>
  </si>
  <si>
    <t xml:space="preserve"> Paper        </t>
  </si>
  <si>
    <t xml:space="preserve"> Cabinet      </t>
  </si>
  <si>
    <t xml:space="preserve"> Toner        </t>
  </si>
  <si>
    <t xml:space="preserve"> Pens         </t>
  </si>
  <si>
    <t>Monthly Revenue</t>
  </si>
  <si>
    <t>Jan</t>
  </si>
  <si>
    <t>Feb</t>
  </si>
  <si>
    <t>Mar</t>
  </si>
  <si>
    <t>Goal Seek</t>
  </si>
  <si>
    <t>Data Table</t>
  </si>
  <si>
    <t>Unit Price</t>
  </si>
  <si>
    <t>Volumn</t>
  </si>
  <si>
    <t>How profit changes with volumn and price</t>
  </si>
  <si>
    <t>Most likely</t>
  </si>
  <si>
    <t>$H$2</t>
  </si>
  <si>
    <t>$G$2</t>
  </si>
  <si>
    <t>$L$4</t>
  </si>
  <si>
    <t>$M$4</t>
  </si>
  <si>
    <t>$N$4</t>
  </si>
  <si>
    <t>Best</t>
  </si>
  <si>
    <t>Created by PIJUSH PANDIT on 12-02-2026</t>
  </si>
  <si>
    <t>Worst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</si>
  <si>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</si>
  <si>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</si>
  <si>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</si>
  <si>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</si>
  <si>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</si>
  <si>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</si>
  <si>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</si>
  <si>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EXECUTIVE SUMMARY</t>
  </si>
  <si>
    <t>Key Findings</t>
  </si>
  <si>
    <t>Recommendations</t>
  </si>
  <si>
    <t>Performance Trends</t>
  </si>
  <si>
    <t>Risk Areas</t>
  </si>
  <si>
    <t>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</si>
</sst>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8"/>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sz val="12"/>
      <color theme="1"/>
      <name val="Aptos Narrow"/>
      <family val="2"/>
      <scheme val="minor"/>
    </font>
    <font>
      <b/>
      <sz val="16"/>
      <color theme="1"/>
      <name val="Algerian"/>
      <family val="5"/>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0" xfId="0" applyNumberFormat="1"/>
    <xf numFmtId="0" fontId="0" fillId="0" borderId="0" xfId="0"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0" borderId="0" xfId="0" applyFont="1"/>
    <xf numFmtId="0" fontId="0" fillId="0" borderId="0" xfId="0" applyAlignment="1">
      <alignment horizontal="center"/>
    </xf>
    <xf numFmtId="0" fontId="0" fillId="0" borderId="1" xfId="0" applyBorder="1"/>
    <xf numFmtId="14" fontId="0" fillId="0" borderId="1" xfId="0" applyNumberFormat="1" applyBorder="1"/>
    <xf numFmtId="0" fontId="0" fillId="0" borderId="0" xfId="0" applyFill="1" applyBorder="1" applyAlignment="1"/>
    <xf numFmtId="0" fontId="0" fillId="0" borderId="3" xfId="0" applyFill="1" applyBorder="1" applyAlignment="1"/>
    <xf numFmtId="0" fontId="3" fillId="2" borderId="4" xfId="0" applyFont="1" applyFill="1" applyBorder="1" applyAlignment="1">
      <alignment horizontal="left"/>
    </xf>
    <xf numFmtId="0" fontId="3" fillId="2" borderId="2" xfId="0" applyFont="1" applyFill="1" applyBorder="1" applyAlignment="1">
      <alignment horizontal="left"/>
    </xf>
    <xf numFmtId="0" fontId="0" fillId="0" borderId="5" xfId="0" applyFill="1" applyBorder="1" applyAlignment="1"/>
    <xf numFmtId="0" fontId="4" fillId="3" borderId="0" xfId="0" applyFont="1" applyFill="1" applyBorder="1" applyAlignment="1">
      <alignment horizontal="left"/>
    </xf>
    <xf numFmtId="0" fontId="5" fillId="3" borderId="5" xfId="0" applyFont="1" applyFill="1" applyBorder="1" applyAlignment="1">
      <alignment horizontal="left"/>
    </xf>
    <xf numFmtId="0" fontId="4" fillId="3" borderId="3" xfId="0" applyFont="1" applyFill="1" applyBorder="1" applyAlignment="1">
      <alignment horizontal="left"/>
    </xf>
    <xf numFmtId="0" fontId="6" fillId="2" borderId="2" xfId="0" applyFont="1" applyFill="1" applyBorder="1" applyAlignment="1">
      <alignment horizontal="right"/>
    </xf>
    <xf numFmtId="0" fontId="6" fillId="2" borderId="4" xfId="0" applyFont="1" applyFill="1" applyBorder="1" applyAlignment="1">
      <alignment horizontal="right"/>
    </xf>
    <xf numFmtId="0" fontId="0" fillId="4" borderId="0" xfId="0" applyFill="1" applyBorder="1" applyAlignment="1"/>
    <xf numFmtId="0" fontId="7" fillId="0" borderId="0" xfId="0" applyFont="1" applyFill="1" applyBorder="1" applyAlignment="1">
      <alignment vertical="top" wrapText="1"/>
    </xf>
    <xf numFmtId="0" fontId="8" fillId="0" borderId="0" xfId="0" applyFont="1"/>
    <xf numFmtId="0" fontId="0" fillId="0" borderId="1" xfId="0" applyBorder="1" applyAlignment="1">
      <alignment horizontal="center"/>
    </xf>
    <xf numFmtId="0" fontId="0" fillId="0" borderId="0" xfId="0" applyAlignment="1">
      <alignment horizontal="center"/>
    </xf>
    <xf numFmtId="0" fontId="9" fillId="0" borderId="0" xfId="0" applyFont="1" applyAlignment="1">
      <alignment horizontal="center" vertical="center"/>
    </xf>
  </cellXfs>
  <cellStyles count="1">
    <cellStyle name="Normal" xfId="0" builtinId="0"/>
  </cellStyles>
  <dxfs count="36">
    <dxf>
      <font>
        <color rgb="FF9C0006"/>
      </font>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[Excel.xlsx]Revenue_Analysis!PivotTable1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Revenue_Analysis!$B$3:$B$5</c:f>
              <c:strCache>
                <c:ptCount val="1"/>
                <c:pt idx="0">
                  <c:v>January - Sum of Total_Revenue</c:v>
                </c:pt>
              </c:strCache>
            </c:strRef>
          </c:tx>
          <c:spPr>
            <a:solidFill>
              <a:schemeClr val="accent1"/>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Revenue_Analysis!$B$6:$B$22</c:f>
              <c:numCache>
                <c:formatCode>General</c:formatCode>
                <c:ptCount val="12"/>
                <c:pt idx="0">
                  <c:v>2800</c:v>
                </c:pt>
                <c:pt idx="2">
                  <c:v>1250</c:v>
                </c:pt>
                <c:pt idx="3">
                  <c:v>14400</c:v>
                </c:pt>
                <c:pt idx="4">
                  <c:v>2160</c:v>
                </c:pt>
                <c:pt idx="6">
                  <c:v>3300</c:v>
                </c:pt>
                <c:pt idx="7">
                  <c:v>1350</c:v>
                </c:pt>
                <c:pt idx="8">
                  <c:v>1275</c:v>
                </c:pt>
                <c:pt idx="10">
                  <c:v>1240</c:v>
                </c:pt>
                <c:pt idx="11">
                  <c:v>1120</c:v>
                </c:pt>
              </c:numCache>
            </c:numRef>
          </c:val>
          <c:extLst>
            <c:ext xmlns:c16="http://schemas.microsoft.com/office/drawing/2014/chart" uri="{C3380CC4-5D6E-409C-BE32-E72D297353CC}">
              <c16:uniqueId val="{00000000-3F94-4154-99D7-B0404A30ED56}"/>
            </c:ext>
          </c:extLst>
        </c:ser>
        <c:ser>
          <c:idx val="1"/>
          <c:order val="1"/>
          <c:tx>
            <c:strRef>
              <c:f>Revenue_Analysis!$C$3:$C$5</c:f>
              <c:strCache>
                <c:ptCount val="1"/>
                <c:pt idx="0">
                  <c:v>January - Sum of ProfitMargin</c:v>
                </c:pt>
              </c:strCache>
            </c:strRef>
          </c:tx>
          <c:spPr>
            <a:solidFill>
              <a:schemeClr val="accent2"/>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Revenue_Analysis!$C$6:$C$22</c:f>
              <c:numCache>
                <c:formatCode>General</c:formatCode>
                <c:ptCount val="12"/>
                <c:pt idx="0">
                  <c:v>37</c:v>
                </c:pt>
                <c:pt idx="2">
                  <c:v>52</c:v>
                </c:pt>
                <c:pt idx="3">
                  <c:v>58</c:v>
                </c:pt>
                <c:pt idx="4">
                  <c:v>47</c:v>
                </c:pt>
                <c:pt idx="6">
                  <c:v>31</c:v>
                </c:pt>
                <c:pt idx="7">
                  <c:v>38</c:v>
                </c:pt>
                <c:pt idx="8">
                  <c:v>51</c:v>
                </c:pt>
                <c:pt idx="10">
                  <c:v>36</c:v>
                </c:pt>
                <c:pt idx="11">
                  <c:v>36</c:v>
                </c:pt>
              </c:numCache>
            </c:numRef>
          </c:val>
          <c:extLst>
            <c:ext xmlns:c16="http://schemas.microsoft.com/office/drawing/2014/chart" uri="{C3380CC4-5D6E-409C-BE32-E72D297353CC}">
              <c16:uniqueId val="{00000001-3F94-4154-99D7-B0404A30ED56}"/>
            </c:ext>
          </c:extLst>
        </c:ser>
        <c:ser>
          <c:idx val="2"/>
          <c:order val="2"/>
          <c:tx>
            <c:strRef>
              <c:f>Revenue_Analysis!$D$3:$D$5</c:f>
              <c:strCache>
                <c:ptCount val="1"/>
                <c:pt idx="0">
                  <c:v>January - Sum of Revenue_vs_Target%</c:v>
                </c:pt>
              </c:strCache>
            </c:strRef>
          </c:tx>
          <c:spPr>
            <a:solidFill>
              <a:schemeClr val="accent3"/>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Revenue_Analysis!$D$6:$D$22</c:f>
              <c:numCache>
                <c:formatCode>0.00%</c:formatCode>
                <c:ptCount val="12"/>
                <c:pt idx="0">
                  <c:v>0.18666666666666668</c:v>
                </c:pt>
                <c:pt idx="1">
                  <c:v>#N/A</c:v>
                </c:pt>
                <c:pt idx="2">
                  <c:v>0.41666666666666669</c:v>
                </c:pt>
                <c:pt idx="3">
                  <c:v>0.48</c:v>
                </c:pt>
                <c:pt idx="4">
                  <c:v>0.27</c:v>
                </c:pt>
                <c:pt idx="5">
                  <c:v>#N/A</c:v>
                </c:pt>
                <c:pt idx="6">
                  <c:v>0.22</c:v>
                </c:pt>
                <c:pt idx="7">
                  <c:v>0.16875000000000001</c:v>
                </c:pt>
                <c:pt idx="8">
                  <c:v>0.42499999999999999</c:v>
                </c:pt>
                <c:pt idx="9">
                  <c:v>#N/A</c:v>
                </c:pt>
                <c:pt idx="10">
                  <c:v>0.155</c:v>
                </c:pt>
                <c:pt idx="11">
                  <c:v>0.37333333333333335</c:v>
                </c:pt>
              </c:numCache>
            </c:numRef>
          </c:val>
          <c:extLst>
            <c:ext xmlns:c16="http://schemas.microsoft.com/office/drawing/2014/chart" uri="{C3380CC4-5D6E-409C-BE32-E72D297353CC}">
              <c16:uniqueId val="{00000002-3F94-4154-99D7-B0404A30ED56}"/>
            </c:ext>
          </c:extLst>
        </c:ser>
        <c:ser>
          <c:idx val="3"/>
          <c:order val="3"/>
          <c:tx>
            <c:strRef>
              <c:f>Revenue_Analysis!$E$3:$E$5</c:f>
              <c:strCache>
                <c:ptCount val="1"/>
                <c:pt idx="0">
                  <c:v>February - Sum of Total_Revenue</c:v>
                </c:pt>
              </c:strCache>
            </c:strRef>
          </c:tx>
          <c:spPr>
            <a:solidFill>
              <a:schemeClr val="accent4"/>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Revenue_Analysis!$E$6:$E$22</c:f>
              <c:numCache>
                <c:formatCode>General</c:formatCode>
                <c:ptCount val="12"/>
                <c:pt idx="0">
                  <c:v>5600</c:v>
                </c:pt>
                <c:pt idx="1">
                  <c:v>2700</c:v>
                </c:pt>
                <c:pt idx="5">
                  <c:v>1340</c:v>
                </c:pt>
                <c:pt idx="6">
                  <c:v>4800</c:v>
                </c:pt>
                <c:pt idx="7">
                  <c:v>2480</c:v>
                </c:pt>
                <c:pt idx="9">
                  <c:v>4400</c:v>
                </c:pt>
                <c:pt idx="10">
                  <c:v>2250</c:v>
                </c:pt>
                <c:pt idx="11">
                  <c:v>1500</c:v>
                </c:pt>
              </c:numCache>
            </c:numRef>
          </c:val>
          <c:extLst>
            <c:ext xmlns:c16="http://schemas.microsoft.com/office/drawing/2014/chart" uri="{C3380CC4-5D6E-409C-BE32-E72D297353CC}">
              <c16:uniqueId val="{0000006D-3F94-4154-99D7-B0404A30ED56}"/>
            </c:ext>
          </c:extLst>
        </c:ser>
        <c:ser>
          <c:idx val="4"/>
          <c:order val="4"/>
          <c:tx>
            <c:strRef>
              <c:f>Revenue_Analysis!$F$3:$F$5</c:f>
              <c:strCache>
                <c:ptCount val="1"/>
                <c:pt idx="0">
                  <c:v>February - Sum of ProfitMargin</c:v>
                </c:pt>
              </c:strCache>
            </c:strRef>
          </c:tx>
          <c:spPr>
            <a:solidFill>
              <a:schemeClr val="accent5"/>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Revenue_Analysis!$F$6:$F$22</c:f>
              <c:numCache>
                <c:formatCode>General</c:formatCode>
                <c:ptCount val="12"/>
                <c:pt idx="0">
                  <c:v>74</c:v>
                </c:pt>
                <c:pt idx="1">
                  <c:v>47</c:v>
                </c:pt>
                <c:pt idx="5">
                  <c:v>96</c:v>
                </c:pt>
                <c:pt idx="6">
                  <c:v>29</c:v>
                </c:pt>
                <c:pt idx="7">
                  <c:v>36</c:v>
                </c:pt>
                <c:pt idx="9">
                  <c:v>31</c:v>
                </c:pt>
                <c:pt idx="10">
                  <c:v>38</c:v>
                </c:pt>
                <c:pt idx="11">
                  <c:v>52</c:v>
                </c:pt>
              </c:numCache>
            </c:numRef>
          </c:val>
          <c:extLst>
            <c:ext xmlns:c16="http://schemas.microsoft.com/office/drawing/2014/chart" uri="{C3380CC4-5D6E-409C-BE32-E72D297353CC}">
              <c16:uniqueId val="{0000006E-3F94-4154-99D7-B0404A30ED56}"/>
            </c:ext>
          </c:extLst>
        </c:ser>
        <c:ser>
          <c:idx val="5"/>
          <c:order val="5"/>
          <c:tx>
            <c:strRef>
              <c:f>Revenue_Analysis!$G$3:$G$5</c:f>
              <c:strCache>
                <c:ptCount val="1"/>
                <c:pt idx="0">
                  <c:v>February - Sum of Revenue_vs_Target%</c:v>
                </c:pt>
              </c:strCache>
            </c:strRef>
          </c:tx>
          <c:spPr>
            <a:solidFill>
              <a:schemeClr val="accent6"/>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Revenue_Analysis!$G$6:$G$22</c:f>
              <c:numCache>
                <c:formatCode>0.00%</c:formatCode>
                <c:ptCount val="12"/>
                <c:pt idx="0">
                  <c:v>0.18666666666666668</c:v>
                </c:pt>
                <c:pt idx="1">
                  <c:v>0.33750000000000002</c:v>
                </c:pt>
                <c:pt idx="2">
                  <c:v>#N/A</c:v>
                </c:pt>
                <c:pt idx="3">
                  <c:v>#N/A</c:v>
                </c:pt>
                <c:pt idx="4">
                  <c:v>#N/A</c:v>
                </c:pt>
                <c:pt idx="5">
                  <c:v>0.22333333333333333</c:v>
                </c:pt>
                <c:pt idx="6">
                  <c:v>0.32</c:v>
                </c:pt>
                <c:pt idx="7">
                  <c:v>0.31</c:v>
                </c:pt>
                <c:pt idx="8">
                  <c:v>#N/A</c:v>
                </c:pt>
                <c:pt idx="9">
                  <c:v>0.29333333333333333</c:v>
                </c:pt>
                <c:pt idx="10">
                  <c:v>0.28125</c:v>
                </c:pt>
                <c:pt idx="11">
                  <c:v>0.5</c:v>
                </c:pt>
              </c:numCache>
            </c:numRef>
          </c:val>
          <c:extLst>
            <c:ext xmlns:c16="http://schemas.microsoft.com/office/drawing/2014/chart" uri="{C3380CC4-5D6E-409C-BE32-E72D297353CC}">
              <c16:uniqueId val="{0000006F-3F94-4154-99D7-B0404A30ED56}"/>
            </c:ext>
          </c:extLst>
        </c:ser>
        <c:ser>
          <c:idx val="6"/>
          <c:order val="6"/>
          <c:tx>
            <c:strRef>
              <c:f>Revenue_Analysis!$H$3:$H$5</c:f>
              <c:strCache>
                <c:ptCount val="1"/>
                <c:pt idx="0">
                  <c:v>March - Sum of Total_Revenue</c:v>
                </c:pt>
              </c:strCache>
            </c:strRef>
          </c:tx>
          <c:spPr>
            <a:solidFill>
              <a:schemeClr val="accent1">
                <a:lumMod val="60000"/>
              </a:schemeClr>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Revenue_Analysis!$H$6:$H$22</c:f>
              <c:numCache>
                <c:formatCode>General</c:formatCode>
                <c:ptCount val="12"/>
                <c:pt idx="2">
                  <c:v>1700</c:v>
                </c:pt>
                <c:pt idx="3">
                  <c:v>10800</c:v>
                </c:pt>
                <c:pt idx="4">
                  <c:v>3240</c:v>
                </c:pt>
                <c:pt idx="7">
                  <c:v>3150</c:v>
                </c:pt>
                <c:pt idx="9">
                  <c:v>2750</c:v>
                </c:pt>
              </c:numCache>
            </c:numRef>
          </c:val>
          <c:extLst>
            <c:ext xmlns:c16="http://schemas.microsoft.com/office/drawing/2014/chart" uri="{C3380CC4-5D6E-409C-BE32-E72D297353CC}">
              <c16:uniqueId val="{00000070-3F94-4154-99D7-B0404A30ED56}"/>
            </c:ext>
          </c:extLst>
        </c:ser>
        <c:ser>
          <c:idx val="7"/>
          <c:order val="7"/>
          <c:tx>
            <c:strRef>
              <c:f>Revenue_Analysis!$I$3:$I$5</c:f>
              <c:strCache>
                <c:ptCount val="1"/>
                <c:pt idx="0">
                  <c:v>March - Sum of ProfitMargin</c:v>
                </c:pt>
              </c:strCache>
            </c:strRef>
          </c:tx>
          <c:spPr>
            <a:solidFill>
              <a:schemeClr val="accent2">
                <a:lumMod val="60000"/>
              </a:schemeClr>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Revenue_Analysis!$I$6:$I$22</c:f>
              <c:numCache>
                <c:formatCode>General</c:formatCode>
                <c:ptCount val="12"/>
                <c:pt idx="2">
                  <c:v>51</c:v>
                </c:pt>
                <c:pt idx="3">
                  <c:v>29</c:v>
                </c:pt>
                <c:pt idx="4">
                  <c:v>47</c:v>
                </c:pt>
                <c:pt idx="7">
                  <c:v>38</c:v>
                </c:pt>
                <c:pt idx="9">
                  <c:v>31</c:v>
                </c:pt>
              </c:numCache>
            </c:numRef>
          </c:val>
          <c:extLst>
            <c:ext xmlns:c16="http://schemas.microsoft.com/office/drawing/2014/chart" uri="{C3380CC4-5D6E-409C-BE32-E72D297353CC}">
              <c16:uniqueId val="{00000071-3F94-4154-99D7-B0404A30ED56}"/>
            </c:ext>
          </c:extLst>
        </c:ser>
        <c:ser>
          <c:idx val="8"/>
          <c:order val="8"/>
          <c:tx>
            <c:strRef>
              <c:f>Revenue_Analysis!$J$3:$J$5</c:f>
              <c:strCache>
                <c:ptCount val="1"/>
                <c:pt idx="0">
                  <c:v>March - Sum of Revenue_vs_Target%</c:v>
                </c:pt>
              </c:strCache>
            </c:strRef>
          </c:tx>
          <c:spPr>
            <a:solidFill>
              <a:schemeClr val="accent3">
                <a:lumMod val="60000"/>
              </a:schemeClr>
            </a:solidFill>
            <a:ln>
              <a:noFill/>
            </a:ln>
            <a:effectLst/>
          </c:spPr>
          <c:invertIfNegative val="0"/>
          <c:cat>
            <c:multiLvlStrRef>
              <c:f>Revenue_Analysis!$A$6:$A$22</c:f>
              <c:multiLvlStrCache>
                <c:ptCount val="12"/>
                <c:lvl>
                  <c:pt idx="0">
                    <c:v>Electronics</c:v>
                  </c:pt>
                  <c:pt idx="1">
                    <c:v>Furniture</c:v>
                  </c:pt>
                  <c:pt idx="2">
                    <c:v>OfficeSupplies</c:v>
                  </c:pt>
                  <c:pt idx="3">
                    <c:v>Electronics</c:v>
                  </c:pt>
                  <c:pt idx="4">
                    <c:v>Furniture</c:v>
                  </c:pt>
                  <c:pt idx="5">
                    <c:v>OfficeSupplies</c:v>
                  </c:pt>
                  <c:pt idx="6">
                    <c:v>Electronics</c:v>
                  </c:pt>
                  <c:pt idx="7">
                    <c:v>Furniture</c:v>
                  </c:pt>
                  <c:pt idx="8">
                    <c:v>OfficeSupplies</c:v>
                  </c:pt>
                  <c:pt idx="9">
                    <c:v>Electronics</c:v>
                  </c:pt>
                  <c:pt idx="10">
                    <c:v>Furniture</c:v>
                  </c:pt>
                  <c:pt idx="11">
                    <c:v>OfficeSupplies</c:v>
                  </c:pt>
                </c:lvl>
                <c:lvl>
                  <c:pt idx="0">
                    <c:v>East</c:v>
                  </c:pt>
                  <c:pt idx="3">
                    <c:v>North</c:v>
                  </c:pt>
                  <c:pt idx="6">
                    <c:v>South</c:v>
                  </c:pt>
                  <c:pt idx="9">
                    <c:v>West</c:v>
                  </c:pt>
                </c:lvl>
              </c:multiLvlStrCache>
            </c:multiLvlStrRef>
          </c:cat>
          <c:val>
            <c:numRef>
              <c:f>Revenue_Analysis!$J$6:$J$22</c:f>
              <c:numCache>
                <c:formatCode>0.00%</c:formatCode>
                <c:ptCount val="12"/>
                <c:pt idx="0">
                  <c:v>#N/A</c:v>
                </c:pt>
                <c:pt idx="1">
                  <c:v>#N/A</c:v>
                </c:pt>
                <c:pt idx="2">
                  <c:v>0.56666666666666665</c:v>
                </c:pt>
                <c:pt idx="3">
                  <c:v>0.72</c:v>
                </c:pt>
                <c:pt idx="4">
                  <c:v>0.40500000000000003</c:v>
                </c:pt>
                <c:pt idx="5">
                  <c:v>#N/A</c:v>
                </c:pt>
                <c:pt idx="6">
                  <c:v>#N/A</c:v>
                </c:pt>
                <c:pt idx="7">
                  <c:v>0.39374999999999999</c:v>
                </c:pt>
                <c:pt idx="8">
                  <c:v>#N/A</c:v>
                </c:pt>
                <c:pt idx="9">
                  <c:v>0.18333333333333332</c:v>
                </c:pt>
                <c:pt idx="10">
                  <c:v>#N/A</c:v>
                </c:pt>
                <c:pt idx="11">
                  <c:v>#N/A</c:v>
                </c:pt>
              </c:numCache>
            </c:numRef>
          </c:val>
          <c:extLst>
            <c:ext xmlns:c16="http://schemas.microsoft.com/office/drawing/2014/chart" uri="{C3380CC4-5D6E-409C-BE32-E72D297353CC}">
              <c16:uniqueId val="{00000072-3F94-4154-99D7-B0404A30ED56}"/>
            </c:ext>
          </c:extLst>
        </c:ser>
        <c:dLbls>
          <c:showLegendKey val="0"/>
          <c:showVal val="0"/>
          <c:showCatName val="0"/>
          <c:showSerName val="0"/>
          <c:showPercent val="0"/>
          <c:showBubbleSize val="0"/>
        </c:dLbls>
        <c:gapWidth val="219"/>
        <c:overlap val="-27"/>
        <c:axId val="1759963727"/>
        <c:axId val="1759964687"/>
      </c:barChart>
      <c:catAx>
        <c:axId val="17599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964687"/>
        <c:crosses val="autoZero"/>
        <c:auto val="1"/>
        <c:lblAlgn val="ctr"/>
        <c:lblOffset val="100"/>
        <c:noMultiLvlLbl val="0"/>
      </c:catAx>
      <c:valAx>
        <c:axId val="175996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96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[Excel.xlsx]Visualizations!PivotTable1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Visualizations!$B$3:$B$4</c:f>
              <c:strCache>
                <c:ptCount val="1"/>
                <c:pt idx="0">
                  <c:v>January</c:v>
                </c:pt>
              </c:strCache>
            </c:strRef>
          </c:tx>
          <c:spPr>
            <a:solidFill>
              <a:schemeClr val="accent1"/>
            </a:solidFill>
            <a:ln>
              <a:noFill/>
            </a:ln>
            <a:effectLst/>
          </c:spPr>
          <c:invertIfNegative val="0"/>
          <c:cat>
            <c:strRef>
              <c:f>Visualizations!$A$5:$A$9</c:f>
              <c:strCache>
                <c:ptCount val="4"/>
                <c:pt idx="0">
                  <c:v>East</c:v>
                </c:pt>
                <c:pt idx="1">
                  <c:v>North</c:v>
                </c:pt>
                <c:pt idx="2">
                  <c:v>South</c:v>
                </c:pt>
                <c:pt idx="3">
                  <c:v>West</c:v>
                </c:pt>
              </c:strCache>
            </c:strRef>
          </c:cat>
          <c:val>
            <c:numRef>
              <c:f>Visualizations!$B$5:$B$9</c:f>
              <c:numCache>
                <c:formatCode>General</c:formatCode>
                <c:ptCount val="4"/>
                <c:pt idx="0">
                  <c:v>18000</c:v>
                </c:pt>
                <c:pt idx="1">
                  <c:v>38000</c:v>
                </c:pt>
                <c:pt idx="2">
                  <c:v>26000</c:v>
                </c:pt>
                <c:pt idx="3">
                  <c:v>11000</c:v>
                </c:pt>
              </c:numCache>
            </c:numRef>
          </c:val>
          <c:extLst>
            <c:ext xmlns:c16="http://schemas.microsoft.com/office/drawing/2014/chart" uri="{C3380CC4-5D6E-409C-BE32-E72D297353CC}">
              <c16:uniqueId val="{00000000-EC6C-4B1A-A4B3-B75BE1FE590A}"/>
            </c:ext>
          </c:extLst>
        </c:ser>
        <c:ser>
          <c:idx val="1"/>
          <c:order val="1"/>
          <c:tx>
            <c:strRef>
              <c:f>Visualizations!$C$3:$C$4</c:f>
              <c:strCache>
                <c:ptCount val="1"/>
                <c:pt idx="0">
                  <c:v>February</c:v>
                </c:pt>
              </c:strCache>
            </c:strRef>
          </c:tx>
          <c:spPr>
            <a:solidFill>
              <a:schemeClr val="accent2"/>
            </a:solidFill>
            <a:ln>
              <a:noFill/>
            </a:ln>
            <a:effectLst/>
          </c:spPr>
          <c:invertIfNegative val="0"/>
          <c:cat>
            <c:strRef>
              <c:f>Visualizations!$A$5:$A$9</c:f>
              <c:strCache>
                <c:ptCount val="4"/>
                <c:pt idx="0">
                  <c:v>East</c:v>
                </c:pt>
                <c:pt idx="1">
                  <c:v>North</c:v>
                </c:pt>
                <c:pt idx="2">
                  <c:v>South</c:v>
                </c:pt>
                <c:pt idx="3">
                  <c:v>West</c:v>
                </c:pt>
              </c:strCache>
            </c:strRef>
          </c:cat>
          <c:val>
            <c:numRef>
              <c:f>Visualizations!$C$5:$C$9</c:f>
              <c:numCache>
                <c:formatCode>General</c:formatCode>
                <c:ptCount val="4"/>
                <c:pt idx="0">
                  <c:v>38000</c:v>
                </c:pt>
                <c:pt idx="1">
                  <c:v>6000</c:v>
                </c:pt>
                <c:pt idx="2">
                  <c:v>23000</c:v>
                </c:pt>
                <c:pt idx="3">
                  <c:v>26000</c:v>
                </c:pt>
              </c:numCache>
            </c:numRef>
          </c:val>
          <c:extLst>
            <c:ext xmlns:c16="http://schemas.microsoft.com/office/drawing/2014/chart" uri="{C3380CC4-5D6E-409C-BE32-E72D297353CC}">
              <c16:uniqueId val="{00000006-EC6C-4B1A-A4B3-B75BE1FE590A}"/>
            </c:ext>
          </c:extLst>
        </c:ser>
        <c:ser>
          <c:idx val="2"/>
          <c:order val="2"/>
          <c:tx>
            <c:strRef>
              <c:f>Visualizations!$D$3:$D$4</c:f>
              <c:strCache>
                <c:ptCount val="1"/>
                <c:pt idx="0">
                  <c:v>March</c:v>
                </c:pt>
              </c:strCache>
            </c:strRef>
          </c:tx>
          <c:spPr>
            <a:solidFill>
              <a:schemeClr val="accent3"/>
            </a:solidFill>
            <a:ln>
              <a:noFill/>
            </a:ln>
            <a:effectLst/>
          </c:spPr>
          <c:invertIfNegative val="0"/>
          <c:cat>
            <c:strRef>
              <c:f>Visualizations!$A$5:$A$9</c:f>
              <c:strCache>
                <c:ptCount val="4"/>
                <c:pt idx="0">
                  <c:v>East</c:v>
                </c:pt>
                <c:pt idx="1">
                  <c:v>North</c:v>
                </c:pt>
                <c:pt idx="2">
                  <c:v>South</c:v>
                </c:pt>
                <c:pt idx="3">
                  <c:v>West</c:v>
                </c:pt>
              </c:strCache>
            </c:strRef>
          </c:cat>
          <c:val>
            <c:numRef>
              <c:f>Visualizations!$D$5:$D$9</c:f>
              <c:numCache>
                <c:formatCode>General</c:formatCode>
                <c:ptCount val="4"/>
                <c:pt idx="0">
                  <c:v>3000</c:v>
                </c:pt>
                <c:pt idx="1">
                  <c:v>23000</c:v>
                </c:pt>
                <c:pt idx="2">
                  <c:v>8000</c:v>
                </c:pt>
                <c:pt idx="3">
                  <c:v>15000</c:v>
                </c:pt>
              </c:numCache>
            </c:numRef>
          </c:val>
          <c:extLst>
            <c:ext xmlns:c16="http://schemas.microsoft.com/office/drawing/2014/chart" uri="{C3380CC4-5D6E-409C-BE32-E72D297353CC}">
              <c16:uniqueId val="{00000007-EC6C-4B1A-A4B3-B75BE1FE590A}"/>
            </c:ext>
          </c:extLst>
        </c:ser>
        <c:dLbls>
          <c:showLegendKey val="0"/>
          <c:showVal val="0"/>
          <c:showCatName val="0"/>
          <c:showSerName val="0"/>
          <c:showPercent val="0"/>
          <c:showBubbleSize val="0"/>
        </c:dLbls>
        <c:gapWidth val="219"/>
        <c:overlap val="-27"/>
        <c:axId val="1801796895"/>
        <c:axId val="1801797375"/>
      </c:barChart>
      <c:catAx>
        <c:axId val="180179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97375"/>
        <c:crosses val="autoZero"/>
        <c:auto val="1"/>
        <c:lblAlgn val="ctr"/>
        <c:lblOffset val="100"/>
        <c:noMultiLvlLbl val="0"/>
      </c:catAx>
      <c:valAx>
        <c:axId val="180179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9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[Excel.xlsx]Visualizations!PivotTable3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Visualizations!$B$18</c:f>
              <c:strCache>
                <c:ptCount val="1"/>
                <c:pt idx="0">
                  <c:v>Total</c:v>
                </c:pt>
              </c:strCache>
            </c:strRef>
          </c:tx>
          <c:spPr>
            <a:ln w="28575" cap="rnd">
              <a:solidFill>
                <a:schemeClr val="accent1"/>
              </a:solidFill>
              <a:round/>
            </a:ln>
            <a:effectLst/>
          </c:spPr>
          <c:marker>
            <c:symbol val="none"/>
          </c:marker>
          <c:cat>
            <c:strRef>
              <c:f>Visualizations!$A$19:$A$22</c:f>
              <c:strCache>
                <c:ptCount val="3"/>
                <c:pt idx="0">
                  <c:v>January</c:v>
                </c:pt>
                <c:pt idx="1">
                  <c:v>February</c:v>
                </c:pt>
                <c:pt idx="2">
                  <c:v>March</c:v>
                </c:pt>
              </c:strCache>
            </c:strRef>
          </c:cat>
          <c:val>
            <c:numRef>
              <c:f>Visualizations!$B$19:$B$22</c:f>
              <c:numCache>
                <c:formatCode>General</c:formatCode>
                <c:ptCount val="3"/>
                <c:pt idx="0">
                  <c:v>9935</c:v>
                </c:pt>
                <c:pt idx="1">
                  <c:v>9245</c:v>
                </c:pt>
                <c:pt idx="2">
                  <c:v>7580</c:v>
                </c:pt>
              </c:numCache>
            </c:numRef>
          </c:val>
          <c:smooth val="0"/>
          <c:extLst>
            <c:ext xmlns:c16="http://schemas.microsoft.com/office/drawing/2014/chart" uri="{C3380CC4-5D6E-409C-BE32-E72D297353CC}">
              <c16:uniqueId val="{00000000-6B8E-47E9-9082-0100F665BBD2}"/>
            </c:ext>
          </c:extLst>
        </c:ser>
        <c:dLbls>
          <c:showLegendKey val="0"/>
          <c:showVal val="0"/>
          <c:showCatName val="0"/>
          <c:showSerName val="0"/>
          <c:showPercent val="0"/>
          <c:showBubbleSize val="0"/>
        </c:dLbls>
        <c:smooth val="0"/>
        <c:axId val="1783659711"/>
        <c:axId val="1783657311"/>
      </c:lineChart>
      <c:catAx>
        <c:axId val="178365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57311"/>
        <c:crosses val="autoZero"/>
        <c:auto val="1"/>
        <c:lblAlgn val="ctr"/>
        <c:lblOffset val="100"/>
        <c:noMultiLvlLbl val="0"/>
      </c:catAx>
      <c:valAx>
        <c:axId val="17836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5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[Excel.xlsx]Visualizations!PivotTable4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Visualizations!$E$17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03-4962-8169-6DEE5D6632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03-4962-8169-6DEE5D6632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03-4962-8169-6DEE5D663241}"/>
              </c:ext>
            </c:extLst>
          </c:dPt>
          <c:cat>
            <c:strRef>
              <c:f>Visualizations!$D$18:$D$21</c:f>
              <c:strCache>
                <c:ptCount val="3"/>
                <c:pt idx="0">
                  <c:v>Electronics</c:v>
                </c:pt>
                <c:pt idx="1">
                  <c:v>Furniture</c:v>
                </c:pt>
                <c:pt idx="2">
                  <c:v>OfficeSupplies</c:v>
                </c:pt>
              </c:strCache>
            </c:strRef>
          </c:cat>
          <c:val>
            <c:numRef>
              <c:f>Visualizations!$E$18:$E$21</c:f>
              <c:numCache>
                <c:formatCode>General</c:formatCode>
                <c:ptCount val="3"/>
                <c:pt idx="0">
                  <c:v>48850</c:v>
                </c:pt>
                <c:pt idx="1">
                  <c:v>18570</c:v>
                </c:pt>
                <c:pt idx="2">
                  <c:v>8185</c:v>
                </c:pt>
              </c:numCache>
            </c:numRef>
          </c:val>
          <c:extLst>
            <c:ext xmlns:c16="http://schemas.microsoft.com/office/drawing/2014/chart" uri="{C3380CC4-5D6E-409C-BE32-E72D297353CC}">
              <c16:uniqueId val="{00000000-1473-490F-A338-1C8E9CE2CC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[Excel.xlsx]Visualizations!PivotTable5</c:name>
    <c:fmtId val="4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Visualizations!$B$11</c:f>
              <c:strCache>
                <c:ptCount val="1"/>
                <c:pt idx="0">
                  <c:v>Sum of Total_Revenue</c:v>
                </c:pt>
              </c:strCache>
            </c:strRef>
          </c:tx>
          <c:spPr>
            <a:solidFill>
              <a:schemeClr val="accent1"/>
            </a:solidFill>
            <a:ln>
              <a:noFill/>
            </a:ln>
            <a:effectLst/>
            <a:sp3d/>
          </c:spPr>
          <c:invertIfNegative val="0"/>
          <c:cat>
            <c:strRef>
              <c:f>Visualizations!$A$12:$A$16</c:f>
              <c:strCache>
                <c:ptCount val="4"/>
                <c:pt idx="0">
                  <c:v>CarlosLee</c:v>
                </c:pt>
                <c:pt idx="1">
                  <c:v>EmmaDavis</c:v>
                </c:pt>
                <c:pt idx="2">
                  <c:v>JohnSmith</c:v>
                </c:pt>
                <c:pt idx="3">
                  <c:v>SarahChen</c:v>
                </c:pt>
              </c:strCache>
            </c:strRef>
          </c:cat>
          <c:val>
            <c:numRef>
              <c:f>Visualizations!$B$12:$B$16</c:f>
              <c:numCache>
                <c:formatCode>General</c:formatCode>
                <c:ptCount val="4"/>
                <c:pt idx="0">
                  <c:v>14050</c:v>
                </c:pt>
                <c:pt idx="1">
                  <c:v>16355</c:v>
                </c:pt>
                <c:pt idx="2">
                  <c:v>31940</c:v>
                </c:pt>
                <c:pt idx="3">
                  <c:v>13260</c:v>
                </c:pt>
              </c:numCache>
            </c:numRef>
          </c:val>
          <c:extLst>
            <c:ext xmlns:c16="http://schemas.microsoft.com/office/drawing/2014/chart" uri="{C3380CC4-5D6E-409C-BE32-E72D297353CC}">
              <c16:uniqueId val="{00000000-22C1-411C-A361-56AF08F8510B}"/>
            </c:ext>
          </c:extLst>
        </c:ser>
        <c:ser>
          <c:idx val="1"/>
          <c:order val="1"/>
          <c:tx>
            <c:strRef>
              <c:f>Visualizations!$C$11</c:f>
              <c:strCache>
                <c:ptCount val="1"/>
                <c:pt idx="0">
                  <c:v>Sum of Commission-Amount</c:v>
                </c:pt>
              </c:strCache>
            </c:strRef>
          </c:tx>
          <c:spPr>
            <a:solidFill>
              <a:schemeClr val="accent2"/>
            </a:solidFill>
            <a:ln>
              <a:noFill/>
            </a:ln>
            <a:effectLst/>
            <a:sp3d/>
          </c:spPr>
          <c:invertIfNegative val="0"/>
          <c:cat>
            <c:strRef>
              <c:f>Visualizations!$A$12:$A$16</c:f>
              <c:strCache>
                <c:ptCount val="4"/>
                <c:pt idx="0">
                  <c:v>CarlosLee</c:v>
                </c:pt>
                <c:pt idx="1">
                  <c:v>EmmaDavis</c:v>
                </c:pt>
                <c:pt idx="2">
                  <c:v>JohnSmith</c:v>
                </c:pt>
                <c:pt idx="3">
                  <c:v>SarahChen</c:v>
                </c:pt>
              </c:strCache>
            </c:strRef>
          </c:cat>
          <c:val>
            <c:numRef>
              <c:f>Visualizations!$C$12:$C$16</c:f>
              <c:numCache>
                <c:formatCode>General</c:formatCode>
                <c:ptCount val="4"/>
                <c:pt idx="0">
                  <c:v>983.50000000000011</c:v>
                </c:pt>
                <c:pt idx="1">
                  <c:v>1471.95</c:v>
                </c:pt>
                <c:pt idx="2">
                  <c:v>2555.1999999999998</c:v>
                </c:pt>
                <c:pt idx="3">
                  <c:v>1060.8</c:v>
                </c:pt>
              </c:numCache>
            </c:numRef>
          </c:val>
          <c:extLst>
            <c:ext xmlns:c16="http://schemas.microsoft.com/office/drawing/2014/chart" uri="{C3380CC4-5D6E-409C-BE32-E72D297353CC}">
              <c16:uniqueId val="{00000001-22C1-411C-A361-56AF08F8510B}"/>
            </c:ext>
          </c:extLst>
        </c:ser>
        <c:ser>
          <c:idx val="2"/>
          <c:order val="2"/>
          <c:tx>
            <c:strRef>
              <c:f>Visualizations!$D$11</c:f>
              <c:strCache>
                <c:ptCount val="1"/>
                <c:pt idx="0">
                  <c:v>Count of Sales_Rep</c:v>
                </c:pt>
              </c:strCache>
            </c:strRef>
          </c:tx>
          <c:spPr>
            <a:solidFill>
              <a:schemeClr val="accent3"/>
            </a:solidFill>
            <a:ln>
              <a:noFill/>
            </a:ln>
            <a:effectLst/>
            <a:sp3d/>
          </c:spPr>
          <c:invertIfNegative val="0"/>
          <c:cat>
            <c:strRef>
              <c:f>Visualizations!$A$12:$A$16</c:f>
              <c:strCache>
                <c:ptCount val="4"/>
                <c:pt idx="0">
                  <c:v>CarlosLee</c:v>
                </c:pt>
                <c:pt idx="1">
                  <c:v>EmmaDavis</c:v>
                </c:pt>
                <c:pt idx="2">
                  <c:v>JohnSmith</c:v>
                </c:pt>
                <c:pt idx="3">
                  <c:v>SarahChen</c:v>
                </c:pt>
              </c:strCache>
            </c:strRef>
          </c:cat>
          <c:val>
            <c:numRef>
              <c:f>Visualizations!$D$12:$D$16</c:f>
              <c:numCache>
                <c:formatCode>General</c:formatCode>
                <c:ptCount val="4"/>
                <c:pt idx="0">
                  <c:v>6</c:v>
                </c:pt>
                <c:pt idx="1">
                  <c:v>6</c:v>
                </c:pt>
                <c:pt idx="2">
                  <c:v>7</c:v>
                </c:pt>
                <c:pt idx="3">
                  <c:v>6</c:v>
                </c:pt>
              </c:numCache>
            </c:numRef>
          </c:val>
          <c:extLst>
            <c:ext xmlns:c16="http://schemas.microsoft.com/office/drawing/2014/chart" uri="{C3380CC4-5D6E-409C-BE32-E72D297353CC}">
              <c16:uniqueId val="{00000002-22C1-411C-A361-56AF08F8510B}"/>
            </c:ext>
          </c:extLst>
        </c:ser>
        <c:dLbls>
          <c:showLegendKey val="0"/>
          <c:showVal val="0"/>
          <c:showCatName val="0"/>
          <c:showSerName val="0"/>
          <c:showPercent val="0"/>
          <c:showBubbleSize val="0"/>
        </c:dLbls>
        <c:gapWidth val="150"/>
        <c:shape val="box"/>
        <c:axId val="1790802127"/>
        <c:axId val="483676671"/>
        <c:axId val="0"/>
      </c:bar3DChart>
      <c:catAx>
        <c:axId val="179080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76671"/>
        <c:crosses val="autoZero"/>
        <c:auto val="1"/>
        <c:lblAlgn val="ctr"/>
        <c:lblOffset val="100"/>
        <c:noMultiLvlLbl val="0"/>
      </c:catAx>
      <c:valAx>
        <c:axId val="4836766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02127"/>
        <c:crosses val="autoZero"/>
        <c:crossBetween val="between"/>
      </c:valAx>
      <c:spPr>
        <a:noFill/>
        <a:ln>
          <a:noFill/>
        </a:ln>
        <a:effectLst/>
      </c:spPr>
    </c:plotArea>
    <c:legend>
      <c:legendPos val="r"/>
      <c:layout>
        <c:manualLayout>
          <c:xMode val="edge"/>
          <c:yMode val="edge"/>
          <c:x val="0.73327161027948429"/>
          <c:y val="0.2398344791795885"/>
          <c:w val="0.2574447646493756"/>
          <c:h val="0.58273165854268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6</xdr:col>
      <xdr:colOff>1174101</xdr:colOff>
      <xdr:row>23</xdr:row>
      <xdr:rowOff>105748</xdr:rowOff>
    </xdr:from>
    <xdr:to>
      <xdr:col>9</xdr:col>
      <xdr:colOff>612322</xdr:colOff>
      <xdr:row>35</xdr:row>
      <xdr:rowOff>19441</xdr:rowOff>
    </xdr:to>
    <xdr:graphicFrame macro="">
      <xdr:nvGraphicFramePr>
        <xdr:cNvPr id="3" name="Chart 2">
          <a:extLst>
            <a:ext uri="{FF2B5EF4-FFF2-40B4-BE49-F238E27FC236}">
              <a16:creationId xmlns:a16="http://schemas.microsoft.com/office/drawing/2014/main" id="{BBC79538-F3C2-65F8-208B-B1574C96B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276225</xdr:colOff>
      <xdr:row>2</xdr:row>
      <xdr:rowOff>38100</xdr:rowOff>
    </xdr:from>
    <xdr:to>
      <xdr:col>6</xdr:col>
      <xdr:colOff>123825</xdr:colOff>
      <xdr:row>10</xdr:row>
      <xdr:rowOff>123825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9DDC3E8-5DA0-E0D9-4C16-94468B03C1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90900" y="419100"/>
              <a:ext cx="1676400"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10</xdr:row>
      <xdr:rowOff>133350</xdr:rowOff>
    </xdr:from>
    <xdr:to>
      <xdr:col>6</xdr:col>
      <xdr:colOff>114300</xdr:colOff>
      <xdr:row>17</xdr:row>
      <xdr:rowOff>19050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DF29CADD-1724-11F3-9254-6BBF47AFF22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90900" y="2038350"/>
              <a:ext cx="1666875"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xdr:colOff>
      <xdr:row>10</xdr:row>
      <xdr:rowOff>23889</xdr:rowOff>
    </xdr:from>
    <xdr:to>
      <xdr:col>2</xdr:col>
      <xdr:colOff>1362075</xdr:colOff>
      <xdr:row>15</xdr:row>
      <xdr:rowOff>161925</xdr:rowOff>
    </xdr:to>
    <xdr:sp macro="" textlink="">
      <xdr:nvSpPr>
        <xdr:cNvPr id="2" name="Rectangle 1">
          <a:extLst>
            <a:ext uri="{FF2B5EF4-FFF2-40B4-BE49-F238E27FC236}">
              <a16:creationId xmlns:a16="http://schemas.microsoft.com/office/drawing/2014/main" id="{872859ED-746E-7568-2A21-B7EFB25C8677}"/>
            </a:ext>
          </a:extLst>
        </xdr:cNvPr>
        <xdr:cNvSpPr/>
      </xdr:nvSpPr>
      <xdr:spPr>
        <a:xfrm>
          <a:off x="1276350" y="1928889"/>
          <a:ext cx="1304925" cy="1090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57151</xdr:colOff>
      <xdr:row>11</xdr:row>
      <xdr:rowOff>161925</xdr:rowOff>
    </xdr:from>
    <xdr:to>
      <xdr:col>2</xdr:col>
      <xdr:colOff>1343025</xdr:colOff>
      <xdr:row>13</xdr:row>
      <xdr:rowOff>28575</xdr:rowOff>
    </xdr:to>
    <xdr:sp macro="" textlink="$C$6">
      <xdr:nvSpPr>
        <xdr:cNvPr id="12" name="TextBox 11">
          <a:extLst>
            <a:ext uri="{FF2B5EF4-FFF2-40B4-BE49-F238E27FC236}">
              <a16:creationId xmlns:a16="http://schemas.microsoft.com/office/drawing/2014/main" id="{9DCE69BF-5F1D-34D7-C35A-5498EBAAAF1B}"/>
            </a:ext>
          </a:extLst>
        </xdr:cNvPr>
        <xdr:cNvSpPr txBox="1"/>
      </xdr:nvSpPr>
      <xdr:spPr>
        <a:xfrm>
          <a:off x="1276351" y="2257425"/>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4BF2F1-68DB-4E11-B9D2-68685927B26F}" type="TxLink">
            <a:rPr lang="en-US" sz="1100" b="1" i="0" u="none" strike="noStrike">
              <a:solidFill>
                <a:srgbClr val="000000"/>
              </a:solidFill>
              <a:latin typeface="Aptos Narrow"/>
            </a:rPr>
            <a:pPr algn="ctr"/>
            <a:t>76395</a:t>
          </a:fld>
          <a:endParaRPr lang="en-IN" sz="1050" b="1"/>
        </a:p>
      </xdr:txBody>
    </xdr:sp>
    <xdr:clientData/>
  </xdr:twoCellAnchor>
  <xdr:twoCellAnchor>
    <xdr:from>
      <xdr:col>2</xdr:col>
      <xdr:colOff>47626</xdr:colOff>
      <xdr:row>10</xdr:row>
      <xdr:rowOff>85725</xdr:rowOff>
    </xdr:from>
    <xdr:to>
      <xdr:col>2</xdr:col>
      <xdr:colOff>1333500</xdr:colOff>
      <xdr:row>11</xdr:row>
      <xdr:rowOff>142875</xdr:rowOff>
    </xdr:to>
    <xdr:sp macro="" textlink="">
      <xdr:nvSpPr>
        <xdr:cNvPr id="13" name="TextBox 12">
          <a:extLst>
            <a:ext uri="{FF2B5EF4-FFF2-40B4-BE49-F238E27FC236}">
              <a16:creationId xmlns:a16="http://schemas.microsoft.com/office/drawing/2014/main" id="{BE01D288-D358-F52D-5178-1E22F1659E75}"/>
            </a:ext>
          </a:extLst>
        </xdr:cNvPr>
        <xdr:cNvSpPr txBox="1"/>
      </xdr:nvSpPr>
      <xdr:spPr>
        <a:xfrm>
          <a:off x="1266826" y="1990725"/>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Total Revenue (YTD)</a:t>
          </a:r>
        </a:p>
      </xdr:txBody>
    </xdr:sp>
    <xdr:clientData/>
  </xdr:twoCellAnchor>
  <xdr:twoCellAnchor>
    <xdr:from>
      <xdr:col>3</xdr:col>
      <xdr:colOff>47625</xdr:colOff>
      <xdr:row>9</xdr:row>
      <xdr:rowOff>185814</xdr:rowOff>
    </xdr:from>
    <xdr:to>
      <xdr:col>3</xdr:col>
      <xdr:colOff>1352550</xdr:colOff>
      <xdr:row>15</xdr:row>
      <xdr:rowOff>133350</xdr:rowOff>
    </xdr:to>
    <xdr:sp macro="" textlink="">
      <xdr:nvSpPr>
        <xdr:cNvPr id="17" name="Rectangle 16">
          <a:extLst>
            <a:ext uri="{FF2B5EF4-FFF2-40B4-BE49-F238E27FC236}">
              <a16:creationId xmlns:a16="http://schemas.microsoft.com/office/drawing/2014/main" id="{BF52CB12-094C-E96C-071B-AD620CE7FD02}"/>
            </a:ext>
          </a:extLst>
        </xdr:cNvPr>
        <xdr:cNvSpPr/>
      </xdr:nvSpPr>
      <xdr:spPr>
        <a:xfrm>
          <a:off x="2657475" y="1900314"/>
          <a:ext cx="1304925" cy="1090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38101</xdr:colOff>
      <xdr:row>11</xdr:row>
      <xdr:rowOff>161925</xdr:rowOff>
    </xdr:from>
    <xdr:to>
      <xdr:col>3</xdr:col>
      <xdr:colOff>1323975</xdr:colOff>
      <xdr:row>13</xdr:row>
      <xdr:rowOff>28575</xdr:rowOff>
    </xdr:to>
    <xdr:sp macro="" textlink="$D$6">
      <xdr:nvSpPr>
        <xdr:cNvPr id="18" name="TextBox 17">
          <a:extLst>
            <a:ext uri="{FF2B5EF4-FFF2-40B4-BE49-F238E27FC236}">
              <a16:creationId xmlns:a16="http://schemas.microsoft.com/office/drawing/2014/main" id="{249C9BD0-B5BA-7FBC-513F-3162ACD26878}"/>
            </a:ext>
          </a:extLst>
        </xdr:cNvPr>
        <xdr:cNvSpPr txBox="1"/>
      </xdr:nvSpPr>
      <xdr:spPr>
        <a:xfrm>
          <a:off x="2647951" y="2257425"/>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3EDF7A-2CF0-4826-9A27-FC282DEE76A0}" type="TxLink">
            <a:rPr lang="en-US" sz="1100" b="1" i="0" u="none" strike="noStrike">
              <a:solidFill>
                <a:srgbClr val="000000"/>
              </a:solidFill>
              <a:latin typeface="Aptos Narrow"/>
            </a:rPr>
            <a:pPr algn="ctr"/>
            <a:t>27975</a:t>
          </a:fld>
          <a:endParaRPr lang="en-US" sz="1100" b="1" i="0" u="none" strike="noStrike">
            <a:solidFill>
              <a:srgbClr val="000000"/>
            </a:solidFill>
            <a:latin typeface="Aptos Narrow"/>
          </a:endParaRPr>
        </a:p>
      </xdr:txBody>
    </xdr:sp>
    <xdr:clientData/>
  </xdr:twoCellAnchor>
  <xdr:twoCellAnchor>
    <xdr:from>
      <xdr:col>3</xdr:col>
      <xdr:colOff>38101</xdr:colOff>
      <xdr:row>10</xdr:row>
      <xdr:rowOff>57150</xdr:rowOff>
    </xdr:from>
    <xdr:to>
      <xdr:col>3</xdr:col>
      <xdr:colOff>1323975</xdr:colOff>
      <xdr:row>11</xdr:row>
      <xdr:rowOff>114300</xdr:rowOff>
    </xdr:to>
    <xdr:sp macro="" textlink="">
      <xdr:nvSpPr>
        <xdr:cNvPr id="19" name="TextBox 18">
          <a:extLst>
            <a:ext uri="{FF2B5EF4-FFF2-40B4-BE49-F238E27FC236}">
              <a16:creationId xmlns:a16="http://schemas.microsoft.com/office/drawing/2014/main" id="{6B86E527-8B05-C537-CC6A-97A488AAED6A}"/>
            </a:ext>
          </a:extLst>
        </xdr:cNvPr>
        <xdr:cNvSpPr txBox="1"/>
      </xdr:nvSpPr>
      <xdr:spPr>
        <a:xfrm>
          <a:off x="2647951" y="1962150"/>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Total Profit (YTD)</a:t>
          </a:r>
        </a:p>
      </xdr:txBody>
    </xdr:sp>
    <xdr:clientData/>
  </xdr:twoCellAnchor>
  <xdr:twoCellAnchor>
    <xdr:from>
      <xdr:col>4</xdr:col>
      <xdr:colOff>28575</xdr:colOff>
      <xdr:row>9</xdr:row>
      <xdr:rowOff>157239</xdr:rowOff>
    </xdr:from>
    <xdr:to>
      <xdr:col>4</xdr:col>
      <xdr:colOff>1333500</xdr:colOff>
      <xdr:row>15</xdr:row>
      <xdr:rowOff>104775</xdr:rowOff>
    </xdr:to>
    <xdr:sp macro="" textlink="">
      <xdr:nvSpPr>
        <xdr:cNvPr id="20" name="Rectangle 19">
          <a:extLst>
            <a:ext uri="{FF2B5EF4-FFF2-40B4-BE49-F238E27FC236}">
              <a16:creationId xmlns:a16="http://schemas.microsoft.com/office/drawing/2014/main" id="{9C3749BB-89CD-C685-FDCE-07F38A4FA61E}"/>
            </a:ext>
          </a:extLst>
        </xdr:cNvPr>
        <xdr:cNvSpPr/>
      </xdr:nvSpPr>
      <xdr:spPr>
        <a:xfrm>
          <a:off x="4019550" y="1871739"/>
          <a:ext cx="1304925" cy="1090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19051</xdr:colOff>
      <xdr:row>11</xdr:row>
      <xdr:rowOff>133350</xdr:rowOff>
    </xdr:from>
    <xdr:to>
      <xdr:col>4</xdr:col>
      <xdr:colOff>1304925</xdr:colOff>
      <xdr:row>13</xdr:row>
      <xdr:rowOff>0</xdr:rowOff>
    </xdr:to>
    <xdr:sp macro="" textlink="$E$6">
      <xdr:nvSpPr>
        <xdr:cNvPr id="21" name="TextBox 20">
          <a:extLst>
            <a:ext uri="{FF2B5EF4-FFF2-40B4-BE49-F238E27FC236}">
              <a16:creationId xmlns:a16="http://schemas.microsoft.com/office/drawing/2014/main" id="{82264EB6-EA1C-0322-93A9-94A349F94739}"/>
            </a:ext>
          </a:extLst>
        </xdr:cNvPr>
        <xdr:cNvSpPr txBox="1"/>
      </xdr:nvSpPr>
      <xdr:spPr>
        <a:xfrm>
          <a:off x="4010026" y="2228850"/>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98E1FE-007A-40DF-A7F1-00BBABEA79C1}" type="TxLink">
            <a:rPr lang="en-US" sz="1100" b="1" i="0" u="none" strike="noStrike">
              <a:solidFill>
                <a:srgbClr val="000000"/>
              </a:solidFill>
              <a:latin typeface="Aptos Narrow"/>
            </a:rPr>
            <a:pPr algn="ctr"/>
            <a:t>163.74</a:t>
          </a:fld>
          <a:endParaRPr lang="en-US" sz="1100" b="1" i="0" u="none" strike="noStrike">
            <a:solidFill>
              <a:srgbClr val="000000"/>
            </a:solidFill>
            <a:latin typeface="Aptos Narrow"/>
          </a:endParaRPr>
        </a:p>
      </xdr:txBody>
    </xdr:sp>
    <xdr:clientData/>
  </xdr:twoCellAnchor>
  <xdr:twoCellAnchor>
    <xdr:from>
      <xdr:col>4</xdr:col>
      <xdr:colOff>19051</xdr:colOff>
      <xdr:row>10</xdr:row>
      <xdr:rowOff>28575</xdr:rowOff>
    </xdr:from>
    <xdr:to>
      <xdr:col>4</xdr:col>
      <xdr:colOff>1304925</xdr:colOff>
      <xdr:row>11</xdr:row>
      <xdr:rowOff>85725</xdr:rowOff>
    </xdr:to>
    <xdr:sp macro="" textlink="">
      <xdr:nvSpPr>
        <xdr:cNvPr id="22" name="TextBox 21">
          <a:extLst>
            <a:ext uri="{FF2B5EF4-FFF2-40B4-BE49-F238E27FC236}">
              <a16:creationId xmlns:a16="http://schemas.microsoft.com/office/drawing/2014/main" id="{5EA28869-E64A-9A4F-A291-F2995E5B3218}"/>
            </a:ext>
          </a:extLst>
        </xdr:cNvPr>
        <xdr:cNvSpPr txBox="1"/>
      </xdr:nvSpPr>
      <xdr:spPr>
        <a:xfrm>
          <a:off x="4010026" y="1933575"/>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Avg Profit Margin</a:t>
          </a:r>
        </a:p>
      </xdr:txBody>
    </xdr:sp>
    <xdr:clientData/>
  </xdr:twoCellAnchor>
  <xdr:twoCellAnchor>
    <xdr:from>
      <xdr:col>5</xdr:col>
      <xdr:colOff>85725</xdr:colOff>
      <xdr:row>9</xdr:row>
      <xdr:rowOff>176289</xdr:rowOff>
    </xdr:from>
    <xdr:to>
      <xdr:col>5</xdr:col>
      <xdr:colOff>1390650</xdr:colOff>
      <xdr:row>15</xdr:row>
      <xdr:rowOff>123825</xdr:rowOff>
    </xdr:to>
    <xdr:sp macro="" textlink="">
      <xdr:nvSpPr>
        <xdr:cNvPr id="23" name="Rectangle 22">
          <a:extLst>
            <a:ext uri="{FF2B5EF4-FFF2-40B4-BE49-F238E27FC236}">
              <a16:creationId xmlns:a16="http://schemas.microsoft.com/office/drawing/2014/main" id="{B70F1A7E-5754-D3CE-F2E4-3DAA58E12CF1}"/>
            </a:ext>
          </a:extLst>
        </xdr:cNvPr>
        <xdr:cNvSpPr/>
      </xdr:nvSpPr>
      <xdr:spPr>
        <a:xfrm>
          <a:off x="5476875" y="1890789"/>
          <a:ext cx="1304925" cy="1090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76201</xdr:colOff>
      <xdr:row>11</xdr:row>
      <xdr:rowOff>142875</xdr:rowOff>
    </xdr:from>
    <xdr:to>
      <xdr:col>5</xdr:col>
      <xdr:colOff>1362075</xdr:colOff>
      <xdr:row>13</xdr:row>
      <xdr:rowOff>9525</xdr:rowOff>
    </xdr:to>
    <xdr:sp macro="" textlink="$F$6">
      <xdr:nvSpPr>
        <xdr:cNvPr id="24" name="TextBox 23">
          <a:extLst>
            <a:ext uri="{FF2B5EF4-FFF2-40B4-BE49-F238E27FC236}">
              <a16:creationId xmlns:a16="http://schemas.microsoft.com/office/drawing/2014/main" id="{9BBC389A-94C3-ACEA-162A-BDDB38A5C150}"/>
            </a:ext>
          </a:extLst>
        </xdr:cNvPr>
        <xdr:cNvSpPr txBox="1"/>
      </xdr:nvSpPr>
      <xdr:spPr>
        <a:xfrm>
          <a:off x="5467351" y="2238375"/>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167EF8-7CC5-43AF-8A6A-C1528B620C22}" type="TxLink">
            <a:rPr lang="en-US" sz="1100" b="1" i="0" u="none" strike="noStrike">
              <a:solidFill>
                <a:srgbClr val="000000"/>
              </a:solidFill>
              <a:latin typeface="Aptos Narrow"/>
            </a:rPr>
            <a:pPr algn="ctr"/>
            <a:t>25</a:t>
          </a:fld>
          <a:endParaRPr lang="en-IN" sz="1050" b="1"/>
        </a:p>
      </xdr:txBody>
    </xdr:sp>
    <xdr:clientData/>
  </xdr:twoCellAnchor>
  <xdr:twoCellAnchor>
    <xdr:from>
      <xdr:col>5</xdr:col>
      <xdr:colOff>76201</xdr:colOff>
      <xdr:row>10</xdr:row>
      <xdr:rowOff>47625</xdr:rowOff>
    </xdr:from>
    <xdr:to>
      <xdr:col>5</xdr:col>
      <xdr:colOff>1362075</xdr:colOff>
      <xdr:row>11</xdr:row>
      <xdr:rowOff>104775</xdr:rowOff>
    </xdr:to>
    <xdr:sp macro="" textlink="">
      <xdr:nvSpPr>
        <xdr:cNvPr id="25" name="TextBox 24">
          <a:extLst>
            <a:ext uri="{FF2B5EF4-FFF2-40B4-BE49-F238E27FC236}">
              <a16:creationId xmlns:a16="http://schemas.microsoft.com/office/drawing/2014/main" id="{131317B1-68FF-D354-8492-02C2C49EB378}"/>
            </a:ext>
          </a:extLst>
        </xdr:cNvPr>
        <xdr:cNvSpPr txBox="1"/>
      </xdr:nvSpPr>
      <xdr:spPr>
        <a:xfrm>
          <a:off x="5467351" y="1952625"/>
          <a:ext cx="1285874" cy="247650"/>
        </a:xfrm>
        <a:prstGeom prst="rect">
          <a:avLst/>
        </a:prstGeom>
        <a:solidFill>
          <a:schemeClr val="bg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No of Transactions</a:t>
          </a:r>
        </a:p>
      </xdr:txBody>
    </xdr:sp>
    <xdr:clientData/>
  </xdr:twoCellAnchor>
  <mc:AlternateContent xmlns:mc="http://schemas.openxmlformats.org/markup-compatibility/2006">
    <mc:Choice xmlns:a14="http://schemas.microsoft.com/office/drawing/2010/main" Requires="a14">
      <xdr:twoCellAnchor editAs="oneCell">
        <xdr:from>
          <xdr:col>2</xdr:col>
          <xdr:colOff>28575</xdr:colOff>
          <xdr:row>13</xdr:row>
          <xdr:rowOff>171450</xdr:rowOff>
        </xdr:from>
        <xdr:to>
          <xdr:col>3</xdr:col>
          <xdr:colOff>28575</xdr:colOff>
          <xdr:row>14</xdr:row>
          <xdr:rowOff>171450</xdr:rowOff>
        </xdr:to>
        <xdr:pic>
          <xdr:nvPicPr>
            <xdr:cNvPr id="27" name="Picture 26">
              <a:extLst>
                <a:ext uri="{FF2B5EF4-FFF2-40B4-BE49-F238E27FC236}">
                  <a16:creationId xmlns:a16="http://schemas.microsoft.com/office/drawing/2014/main" id="{45B7DDF2-A309-ED36-5082-0AE1D3FDB1BB}"/>
                </a:ext>
              </a:extLst>
            </xdr:cNvPr>
            <xdr:cNvPicPr>
              <a:picLocks noChangeAspect="1" noChangeArrowheads="1"/>
              <a:extLst>
                <a:ext uri="{84589F7E-364E-4C9E-8A38-B11213B215E9}">
                  <a14:cameraTool cellRange="$C$8" spid="_x0000_s2346"/>
                </a:ext>
              </a:extLst>
            </xdr:cNvPicPr>
          </xdr:nvPicPr>
          <xdr:blipFill>
            <a:blip xmlns:r="http://schemas.openxmlformats.org/officeDocument/2006/relationships" r:embed="rId1"/>
            <a:srcRect/>
            <a:stretch>
              <a:fillRect/>
            </a:stretch>
          </xdr:blipFill>
          <xdr:spPr bwMode="auto">
            <a:xfrm>
              <a:off x="1266825" y="2647950"/>
              <a:ext cx="142875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161925</xdr:rowOff>
        </xdr:from>
        <xdr:to>
          <xdr:col>4</xdr:col>
          <xdr:colOff>9525</xdr:colOff>
          <xdr:row>14</xdr:row>
          <xdr:rowOff>171450</xdr:rowOff>
        </xdr:to>
        <xdr:pic>
          <xdr:nvPicPr>
            <xdr:cNvPr id="28" name="Picture 27">
              <a:extLst>
                <a:ext uri="{FF2B5EF4-FFF2-40B4-BE49-F238E27FC236}">
                  <a16:creationId xmlns:a16="http://schemas.microsoft.com/office/drawing/2014/main" id="{7EED2D1F-C9C8-6A2A-C77D-C005E2A1A60E}"/>
                </a:ext>
              </a:extLst>
            </xdr:cNvPr>
            <xdr:cNvPicPr>
              <a:picLocks noChangeAspect="1" noChangeArrowheads="1"/>
              <a:extLst>
                <a:ext uri="{84589F7E-364E-4C9E-8A38-B11213B215E9}">
                  <a14:cameraTool cellRange="$D$8" spid="_x0000_s2347"/>
                </a:ext>
              </a:extLst>
            </xdr:cNvPicPr>
          </xdr:nvPicPr>
          <xdr:blipFill>
            <a:blip xmlns:r="http://schemas.openxmlformats.org/officeDocument/2006/relationships" r:embed="rId2"/>
            <a:srcRect/>
            <a:stretch>
              <a:fillRect/>
            </a:stretch>
          </xdr:blipFill>
          <xdr:spPr bwMode="auto">
            <a:xfrm>
              <a:off x="2609850" y="2638425"/>
              <a:ext cx="1390650"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xdr:row>
          <xdr:rowOff>142875</xdr:rowOff>
        </xdr:from>
        <xdr:to>
          <xdr:col>4</xdr:col>
          <xdr:colOff>1381125</xdr:colOff>
          <xdr:row>14</xdr:row>
          <xdr:rowOff>152400</xdr:rowOff>
        </xdr:to>
        <xdr:pic>
          <xdr:nvPicPr>
            <xdr:cNvPr id="29" name="Picture 28">
              <a:extLst>
                <a:ext uri="{FF2B5EF4-FFF2-40B4-BE49-F238E27FC236}">
                  <a16:creationId xmlns:a16="http://schemas.microsoft.com/office/drawing/2014/main" id="{826F88F9-78FA-EA9D-4BDE-EAF7188CBB63}"/>
                </a:ext>
              </a:extLst>
            </xdr:cNvPr>
            <xdr:cNvPicPr>
              <a:picLocks noChangeAspect="1" noChangeArrowheads="1"/>
              <a:extLst>
                <a:ext uri="{84589F7E-364E-4C9E-8A38-B11213B215E9}">
                  <a14:cameraTool cellRange="$E$8" spid="_x0000_s2348"/>
                </a:ext>
              </a:extLst>
            </xdr:cNvPicPr>
          </xdr:nvPicPr>
          <xdr:blipFill>
            <a:blip xmlns:r="http://schemas.openxmlformats.org/officeDocument/2006/relationships" r:embed="rId3"/>
            <a:srcRect/>
            <a:stretch>
              <a:fillRect/>
            </a:stretch>
          </xdr:blipFill>
          <xdr:spPr bwMode="auto">
            <a:xfrm>
              <a:off x="3962400" y="2619375"/>
              <a:ext cx="1409700"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38101</xdr:colOff>
          <xdr:row>13</xdr:row>
          <xdr:rowOff>104776</xdr:rowOff>
        </xdr:from>
        <xdr:to>
          <xdr:col>5</xdr:col>
          <xdr:colOff>1428751</xdr:colOff>
          <xdr:row>14</xdr:row>
          <xdr:rowOff>105150</xdr:rowOff>
        </xdr:to>
        <xdr:pic>
          <xdr:nvPicPr>
            <xdr:cNvPr id="30" name="Picture 29">
              <a:extLst>
                <a:ext uri="{FF2B5EF4-FFF2-40B4-BE49-F238E27FC236}">
                  <a16:creationId xmlns:a16="http://schemas.microsoft.com/office/drawing/2014/main" id="{D221779C-A224-1EF4-BFC5-3AA99A0CB47A}"/>
                </a:ext>
              </a:extLst>
            </xdr:cNvPr>
            <xdr:cNvPicPr>
              <a:picLocks noChangeAspect="1" noChangeArrowheads="1"/>
              <a:extLst>
                <a:ext uri="{84589F7E-364E-4C9E-8A38-B11213B215E9}">
                  <a14:cameraTool cellRange="$F$8" spid="_x0000_s2349"/>
                </a:ext>
              </a:extLst>
            </xdr:cNvPicPr>
          </xdr:nvPicPr>
          <xdr:blipFill>
            <a:blip xmlns:r="http://schemas.openxmlformats.org/officeDocument/2006/relationships" r:embed="rId4"/>
            <a:srcRect/>
            <a:stretch>
              <a:fillRect/>
            </a:stretch>
          </xdr:blipFill>
          <xdr:spPr bwMode="auto">
            <a:xfrm>
              <a:off x="5429251" y="2581276"/>
              <a:ext cx="1390650" cy="19087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190501</xdr:colOff>
      <xdr:row>0</xdr:row>
      <xdr:rowOff>114301</xdr:rowOff>
    </xdr:from>
    <xdr:to>
      <xdr:col>9</xdr:col>
      <xdr:colOff>161926</xdr:colOff>
      <xdr:row>8</xdr:row>
      <xdr:rowOff>152401</xdr:rowOff>
    </xdr:to>
    <xdr:graphicFrame macro="">
      <xdr:nvGraphicFramePr>
        <xdr:cNvPr id="2" name="Chart 1">
          <a:extLst>
            <a:ext uri="{FF2B5EF4-FFF2-40B4-BE49-F238E27FC236}">
              <a16:creationId xmlns:a16="http://schemas.microsoft.com/office/drawing/2014/main" id="{4DE068E4-3FFE-7684-B563-02FF1ED55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9</xdr:row>
      <xdr:rowOff>171449</xdr:rowOff>
    </xdr:from>
    <xdr:to>
      <xdr:col>9</xdr:col>
      <xdr:colOff>47625</xdr:colOff>
      <xdr:row>21</xdr:row>
      <xdr:rowOff>161924</xdr:rowOff>
    </xdr:to>
    <xdr:graphicFrame macro="">
      <xdr:nvGraphicFramePr>
        <xdr:cNvPr id="3" name="Chart 2">
          <a:extLst>
            <a:ext uri="{FF2B5EF4-FFF2-40B4-BE49-F238E27FC236}">
              <a16:creationId xmlns:a16="http://schemas.microsoft.com/office/drawing/2014/main" id="{C807BBF4-86C1-5FF1-C11E-B00C9FF76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1</xdr:row>
      <xdr:rowOff>4763</xdr:rowOff>
    </xdr:from>
    <xdr:to>
      <xdr:col>13</xdr:col>
      <xdr:colOff>95250</xdr:colOff>
      <xdr:row>10</xdr:row>
      <xdr:rowOff>38101</xdr:rowOff>
    </xdr:to>
    <xdr:graphicFrame macro="">
      <xdr:nvGraphicFramePr>
        <xdr:cNvPr id="4" name="Chart 3">
          <a:extLst>
            <a:ext uri="{FF2B5EF4-FFF2-40B4-BE49-F238E27FC236}">
              <a16:creationId xmlns:a16="http://schemas.microsoft.com/office/drawing/2014/main" id="{F682D022-8D8E-2725-4B69-046761DED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47624</xdr:colOff>
      <xdr:row>10</xdr:row>
      <xdr:rowOff>104775</xdr:rowOff>
    </xdr:from>
    <xdr:to>
      <xdr:col>12</xdr:col>
      <xdr:colOff>571499</xdr:colOff>
      <xdr:row>21</xdr:row>
      <xdr:rowOff>9525</xdr:rowOff>
    </xdr:to>
    <xdr:graphicFrame macro="">
      <xdr:nvGraphicFramePr>
        <xdr:cNvPr id="5" name="Chart 4">
          <a:extLst>
            <a:ext uri="{FF2B5EF4-FFF2-40B4-BE49-F238E27FC236}">
              <a16:creationId xmlns:a16="http://schemas.microsoft.com/office/drawing/2014/main" id="{8CA88605-B3DC-1A0B-914D-0E40482EC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47625</xdr:colOff>
      <xdr:row>1</xdr:row>
      <xdr:rowOff>28575</xdr:rowOff>
    </xdr:from>
    <xdr:to>
      <xdr:col>4</xdr:col>
      <xdr:colOff>161925</xdr:colOff>
      <xdr:row>8</xdr:row>
      <xdr:rowOff>180975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910B1D36-72E5-7072-00C8-41D53CA62A8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200525" y="219075"/>
              <a:ext cx="13716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161925</xdr:colOff>
      <xdr:row>8</xdr:row>
      <xdr:rowOff>171450</xdr:rowOff>
    </xdr:from>
    <xdr:to>
      <xdr:col>4</xdr:col>
      <xdr:colOff>1381125</xdr:colOff>
      <xdr:row>15</xdr:row>
      <xdr:rowOff>95250</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9413E550-717C-3205-76AE-9DE8CAF2E87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572125" y="1695450"/>
              <a:ext cx="12192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247650</xdr:colOff>
      <xdr:row>1</xdr:row>
      <xdr:rowOff>57150</xdr:rowOff>
    </xdr:from>
    <xdr:to>
      <xdr:col>5</xdr:col>
      <xdr:colOff>152400</xdr:colOff>
      <xdr:row>7</xdr:row>
      <xdr:rowOff>161925</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6DCE5C97-6D77-E876-E925-57F04BDBF88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57850" y="247650"/>
              <a:ext cx="13335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JUSH PANDIT" refreshedDate="46064.695567013892" createdVersion="8" refreshedVersion="8" minRefreshableVersion="3" recordCount="25" xr:uid="{6FDBE0FB-81CF-434C-8F53-7033861448E4}">
  <cacheSource type="worksheet">
    <worksheetSource name="Sales_Data"/>
  </cacheSource>
  <cacheFields count="23">
    <cacheField name="Date" numFmtId="14">
      <sharedItems containsSemiMixedTypes="0" containsNonDate="0" containsDate="1" containsString="0" minDate="2024-01-05T00:00:00" maxDate="2024-03-16T00:00:00" count="25">
        <d v="2024-01-05T00:00:00"/>
        <d v="2024-01-08T00:00:00"/>
        <d v="2024-01-10T00:00:00"/>
        <d v="2024-01-12T00:00:00"/>
        <d v="2024-01-15T00:00:00"/>
        <d v="2024-01-18T00:00:00"/>
        <d v="2024-01-20T00:00:00"/>
        <d v="2024-01-22T00:00:00"/>
        <d v="2024-01-25T00:00:00"/>
        <d v="2024-01-28T00:00:00"/>
        <d v="2024-02-02T00:00:00"/>
        <d v="2024-02-05T00:00:00"/>
        <d v="2024-02-08T00:00:00"/>
        <d v="2024-02-10T00:00:00"/>
        <d v="2024-02-12T00:00:00"/>
        <d v="2024-02-15T00:00:00"/>
        <d v="2024-02-18T00:00:00"/>
        <d v="2024-02-20T00:00:00"/>
        <d v="2024-02-22T00:00:00"/>
        <d v="2024-02-25T00:00:00"/>
        <d v="2024-03-01T00:00:00"/>
        <d v="2024-03-05T00:00:00"/>
        <d v="2024-03-08T00:00:00"/>
        <d v="2024-03-10T00:00:00"/>
        <d v="2024-03-15T00:00:00"/>
      </sharedItems>
    </cacheField>
    <cacheField name="Region" numFmtId="0">
      <sharedItems count="4">
        <s v="North"/>
        <s v="South"/>
        <s v="East"/>
        <s v="West"/>
      </sharedItems>
    </cacheField>
    <cacheField name="Product_Category" numFmtId="0">
      <sharedItems count="3">
        <s v="Electronics"/>
        <s v="Furniture"/>
        <s v="OfficeSupplies"/>
      </sharedItems>
    </cacheField>
    <cacheField name="Product" numFmtId="0">
      <sharedItems count="10">
        <s v="Laptop"/>
        <s v="Desk"/>
        <s v="Monitor"/>
        <s v="Printer"/>
        <s v="Chair"/>
        <s v="Tablet"/>
        <s v="Paper"/>
        <s v="Cabinet"/>
        <s v="Toner"/>
        <s v="Pens"/>
      </sharedItems>
    </cacheField>
    <cacheField name="Sales_Rep" numFmtId="0">
      <sharedItems count="4">
        <s v="JohnSmith"/>
        <s v="EmmaDavis"/>
        <s v="CarlosLee"/>
        <s v="SarahChen"/>
      </sharedItems>
    </cacheField>
    <cacheField name="Units_Sold" numFmtId="0">
      <sharedItems containsSemiMixedTypes="0" containsString="0" containsNumber="1" containsInteger="1" minValue="2" maxValue="100"/>
    </cacheField>
    <cacheField name="Unit_Price" numFmtId="0">
      <sharedItems containsSemiMixedTypes="0" containsString="0" containsNumber="1" containsInteger="1" minValue="5" maxValue="1200"/>
    </cacheField>
    <cacheField name="Total_Revenue" numFmtId="0">
      <sharedItems containsSemiMixedTypes="0" containsString="0" containsNumber="1" containsInteger="1" minValue="500" maxValue="10800"/>
    </cacheField>
    <cacheField name="Cost_Per_Unit" numFmtId="0">
      <sharedItems containsSemiMixedTypes="0" containsString="0" containsNumber="1" containsInteger="1" minValue="2" maxValue="850"/>
    </cacheField>
    <cacheField name="Profit" numFmtId="0">
      <sharedItems containsSemiMixedTypes="0" containsString="0" containsNumber="1" containsInteger="1" minValue="300" maxValue="3150"/>
    </cacheField>
    <cacheField name="Month" numFmtId="0">
      <sharedItems count="3">
        <s v="January"/>
        <s v="February"/>
        <s v="March"/>
      </sharedItems>
    </cacheField>
    <cacheField name="Year" numFmtId="0">
      <sharedItems containsSemiMixedTypes="0" containsString="0" containsNumber="1" containsInteger="1" minValue="2024" maxValue="2024"/>
    </cacheField>
    <cacheField name="Quarter" numFmtId="0">
      <sharedItems/>
    </cacheField>
    <cacheField name="ProfitMargin" numFmtId="0">
      <sharedItems containsSemiMixedTypes="0" containsString="0" containsNumber="1" containsInteger="1" minValue="29" maxValue="60"/>
    </cacheField>
    <cacheField name="Sales_Rep_Info.Commission_Rate" numFmtId="0">
      <sharedItems containsSemiMixedTypes="0" containsString="0" containsNumber="1" minValue="7.0000000000000007E-2" maxValue="0.09"/>
    </cacheField>
    <cacheField name="Commission-Amount" numFmtId="0">
      <sharedItems containsSemiMixedTypes="0" containsString="0" containsNumber="1" minValue="40" maxValue="864"/>
    </cacheField>
    <cacheField name="Totalrevenuebyregionandmonth" numFmtId="0">
      <sharedItems containsSemiMixedTypes="0" containsString="0" containsNumber="1" containsInteger="1" minValue="1340" maxValue="16560"/>
    </cacheField>
    <cacheField name="Totalprofitbyproductcategoryandquarter" numFmtId="0">
      <sharedItems containsSemiMixedTypes="0" containsString="0" containsNumber="1" containsInteger="1" minValue="3935" maxValue="15100"/>
    </cacheField>
    <cacheField name="Commission_Amount" numFmtId="0">
      <sharedItems containsSemiMixedTypes="0" containsString="0" containsNumber="1" minValue="40" maxValue="864"/>
    </cacheField>
    <cacheField name="Target_Revenue" numFmtId="0">
      <sharedItems containsSemiMixedTypes="0" containsString="0" containsNumber="1" containsInteger="1" minValue="3000" maxValue="15000"/>
    </cacheField>
    <cacheField name="Sales_CAtagory" numFmtId="0">
      <sharedItems/>
    </cacheField>
    <cacheField name="Flag/Thresold" numFmtId="0">
      <sharedItems/>
    </cacheField>
    <cacheField name="Revenue_vs_Target%" numFmtId="0" formula="Total_Revenue/Target_Revenue" databaseField="0"/>
  </cacheFields>
  <extLst>
    <ext xmlns:x14="http://schemas.microsoft.com/office/spreadsheetml/2009/9/main" uri="{725AE2AE-9491-48be-B2B4-4EB974FC3084}">
      <x14:pivotCacheDefinition pivotCacheId="886059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n v="5"/>
    <n v="1200"/>
    <n v="6000"/>
    <n v="850"/>
    <n v="1750"/>
    <x v="0"/>
    <n v="2024"/>
    <s v="Q1"/>
    <n v="29"/>
    <n v="0.08"/>
    <n v="480"/>
    <n v="16560"/>
    <n v="15100"/>
    <n v="480"/>
    <n v="15000"/>
    <s v="High"/>
    <s v="Flag"/>
  </r>
  <r>
    <x v="1"/>
    <x v="1"/>
    <x v="1"/>
    <x v="1"/>
    <x v="1"/>
    <n v="3"/>
    <n v="450"/>
    <n v="1350"/>
    <n v="280"/>
    <n v="510"/>
    <x v="0"/>
    <n v="2024"/>
    <s v="Q1"/>
    <n v="38"/>
    <n v="0.09"/>
    <n v="121.5"/>
    <n v="5925"/>
    <n v="7725"/>
    <n v="121.5"/>
    <n v="8000"/>
    <s v="Medium"/>
    <s v="Flag"/>
  </r>
  <r>
    <x v="2"/>
    <x v="2"/>
    <x v="0"/>
    <x v="2"/>
    <x v="2"/>
    <n v="8"/>
    <n v="350"/>
    <n v="2800"/>
    <n v="220"/>
    <n v="1040"/>
    <x v="0"/>
    <n v="2024"/>
    <s v="Q1"/>
    <n v="37"/>
    <n v="7.0000000000000007E-2"/>
    <n v="196.00000000000003"/>
    <n v="4050"/>
    <n v="15100"/>
    <n v="196.00000000000003"/>
    <n v="15000"/>
    <s v="Medium"/>
    <s v="Flag"/>
  </r>
  <r>
    <x v="3"/>
    <x v="3"/>
    <x v="2"/>
    <x v="3"/>
    <x v="3"/>
    <n v="4"/>
    <n v="280"/>
    <n v="1120"/>
    <n v="180"/>
    <n v="400"/>
    <x v="0"/>
    <n v="2024"/>
    <s v="Q1"/>
    <n v="36"/>
    <n v="0.08"/>
    <n v="89.600000000000009"/>
    <n v="2360"/>
    <n v="3935"/>
    <n v="89.600000000000009"/>
    <n v="3000"/>
    <s v="Medium"/>
    <s v="Flag"/>
  </r>
  <r>
    <x v="4"/>
    <x v="0"/>
    <x v="1"/>
    <x v="4"/>
    <x v="0"/>
    <n v="12"/>
    <n v="180"/>
    <n v="2160"/>
    <n v="95"/>
    <n v="1020"/>
    <x v="0"/>
    <n v="2024"/>
    <s v="Q1"/>
    <n v="47"/>
    <n v="0.08"/>
    <n v="172.8"/>
    <n v="16560"/>
    <n v="7725"/>
    <n v="172.8"/>
    <n v="8000"/>
    <s v="Medium"/>
    <s v="Flag"/>
  </r>
  <r>
    <x v="5"/>
    <x v="1"/>
    <x v="0"/>
    <x v="5"/>
    <x v="1"/>
    <n v="6"/>
    <n v="550"/>
    <n v="3300"/>
    <n v="380"/>
    <n v="1020"/>
    <x v="0"/>
    <n v="2024"/>
    <s v="Q1"/>
    <n v="31"/>
    <n v="0.09"/>
    <n v="297"/>
    <n v="5925"/>
    <n v="15100"/>
    <n v="297"/>
    <n v="15000"/>
    <s v="Medium"/>
    <s v="Flag"/>
  </r>
  <r>
    <x v="6"/>
    <x v="2"/>
    <x v="2"/>
    <x v="6"/>
    <x v="2"/>
    <n v="50"/>
    <n v="25"/>
    <n v="1250"/>
    <n v="12"/>
    <n v="650"/>
    <x v="0"/>
    <n v="2024"/>
    <s v="Q1"/>
    <n v="52"/>
    <n v="7.0000000000000007E-2"/>
    <n v="87.500000000000014"/>
    <n v="4050"/>
    <n v="3935"/>
    <n v="87.500000000000014"/>
    <n v="3000"/>
    <s v="Medium"/>
    <s v="Flag"/>
  </r>
  <r>
    <x v="7"/>
    <x v="3"/>
    <x v="1"/>
    <x v="7"/>
    <x v="3"/>
    <n v="2"/>
    <n v="620"/>
    <n v="1240"/>
    <n v="395"/>
    <n v="450"/>
    <x v="0"/>
    <n v="2024"/>
    <s v="Q1"/>
    <n v="36"/>
    <n v="0.08"/>
    <n v="99.2"/>
    <n v="2360"/>
    <n v="7725"/>
    <n v="99.2"/>
    <n v="8000"/>
    <s v="Medium"/>
    <s v="Flag"/>
  </r>
  <r>
    <x v="8"/>
    <x v="0"/>
    <x v="0"/>
    <x v="0"/>
    <x v="0"/>
    <n v="7"/>
    <n v="1200"/>
    <n v="8400"/>
    <n v="850"/>
    <n v="2450"/>
    <x v="0"/>
    <n v="2024"/>
    <s v="Q1"/>
    <n v="29"/>
    <n v="0.08"/>
    <n v="672"/>
    <n v="16560"/>
    <n v="15100"/>
    <n v="672"/>
    <n v="15000"/>
    <s v="High"/>
    <s v="Flag"/>
  </r>
  <r>
    <x v="9"/>
    <x v="1"/>
    <x v="2"/>
    <x v="8"/>
    <x v="1"/>
    <n v="15"/>
    <n v="85"/>
    <n v="1275"/>
    <n v="42"/>
    <n v="645"/>
    <x v="0"/>
    <n v="2024"/>
    <s v="Q1"/>
    <n v="51"/>
    <n v="0.09"/>
    <n v="114.75"/>
    <n v="5925"/>
    <n v="3935"/>
    <n v="114.75"/>
    <n v="3000"/>
    <s v="Medium"/>
    <s v="Flag"/>
  </r>
  <r>
    <x v="10"/>
    <x v="2"/>
    <x v="0"/>
    <x v="2"/>
    <x v="2"/>
    <n v="10"/>
    <n v="350"/>
    <n v="3500"/>
    <n v="220"/>
    <n v="1300"/>
    <x v="1"/>
    <n v="2024"/>
    <s v="Q1"/>
    <n v="37"/>
    <n v="7.0000000000000007E-2"/>
    <n v="245.00000000000003"/>
    <n v="8300"/>
    <n v="15100"/>
    <n v="245.00000000000003"/>
    <n v="15000"/>
    <s v="Medium"/>
    <s v="Flag"/>
  </r>
  <r>
    <x v="11"/>
    <x v="3"/>
    <x v="1"/>
    <x v="1"/>
    <x v="3"/>
    <n v="5"/>
    <n v="450"/>
    <n v="2250"/>
    <n v="280"/>
    <n v="850"/>
    <x v="1"/>
    <n v="2024"/>
    <s v="Q1"/>
    <n v="38"/>
    <n v="0.08"/>
    <n v="180"/>
    <n v="8150"/>
    <n v="7725"/>
    <n v="180"/>
    <n v="8000"/>
    <s v="Medium"/>
    <s v="Flag"/>
  </r>
  <r>
    <x v="12"/>
    <x v="0"/>
    <x v="2"/>
    <x v="9"/>
    <x v="0"/>
    <n v="100"/>
    <n v="5"/>
    <n v="500"/>
    <n v="2"/>
    <n v="300"/>
    <x v="1"/>
    <n v="2024"/>
    <s v="Q1"/>
    <n v="60"/>
    <n v="0.08"/>
    <n v="40"/>
    <n v="1340"/>
    <n v="3935"/>
    <n v="40"/>
    <n v="3000"/>
    <s v="Low"/>
    <s v="Flag"/>
  </r>
  <r>
    <x v="13"/>
    <x v="1"/>
    <x v="0"/>
    <x v="0"/>
    <x v="1"/>
    <n v="4"/>
    <n v="1200"/>
    <n v="4800"/>
    <n v="850"/>
    <n v="1400"/>
    <x v="1"/>
    <n v="2024"/>
    <s v="Q1"/>
    <n v="29"/>
    <n v="0.09"/>
    <n v="432"/>
    <n v="7280"/>
    <n v="15100"/>
    <n v="432"/>
    <n v="15000"/>
    <s v="Medium"/>
    <s v="Flag"/>
  </r>
  <r>
    <x v="14"/>
    <x v="2"/>
    <x v="1"/>
    <x v="4"/>
    <x v="2"/>
    <n v="15"/>
    <n v="180"/>
    <n v="2700"/>
    <n v="95"/>
    <n v="1275"/>
    <x v="1"/>
    <n v="2024"/>
    <s v="Q1"/>
    <n v="47"/>
    <n v="7.0000000000000007E-2"/>
    <n v="189.00000000000003"/>
    <n v="8300"/>
    <n v="7725"/>
    <n v="189.00000000000003"/>
    <n v="8000"/>
    <s v="Medium"/>
    <s v="Flag"/>
  </r>
  <r>
    <x v="15"/>
    <x v="3"/>
    <x v="0"/>
    <x v="5"/>
    <x v="3"/>
    <n v="8"/>
    <n v="550"/>
    <n v="4400"/>
    <n v="380"/>
    <n v="1360"/>
    <x v="1"/>
    <n v="2024"/>
    <s v="Q1"/>
    <n v="31"/>
    <n v="0.08"/>
    <n v="352"/>
    <n v="8150"/>
    <n v="15100"/>
    <n v="352"/>
    <n v="15000"/>
    <s v="Medium"/>
    <s v="Flag"/>
  </r>
  <r>
    <x v="16"/>
    <x v="0"/>
    <x v="2"/>
    <x v="3"/>
    <x v="0"/>
    <n v="3"/>
    <n v="280"/>
    <n v="840"/>
    <n v="180"/>
    <n v="300"/>
    <x v="1"/>
    <n v="2024"/>
    <s v="Q1"/>
    <n v="36"/>
    <n v="0.08"/>
    <n v="67.2"/>
    <n v="1340"/>
    <n v="3935"/>
    <n v="67.2"/>
    <n v="3000"/>
    <s v="Low"/>
    <s v="Flag"/>
  </r>
  <r>
    <x v="17"/>
    <x v="1"/>
    <x v="1"/>
    <x v="7"/>
    <x v="1"/>
    <n v="4"/>
    <n v="620"/>
    <n v="2480"/>
    <n v="395"/>
    <n v="900"/>
    <x v="1"/>
    <n v="2024"/>
    <s v="Q1"/>
    <n v="36"/>
    <n v="0.09"/>
    <n v="223.2"/>
    <n v="7280"/>
    <n v="7725"/>
    <n v="223.2"/>
    <n v="8000"/>
    <s v="Medium"/>
    <s v="Flag"/>
  </r>
  <r>
    <x v="18"/>
    <x v="2"/>
    <x v="0"/>
    <x v="2"/>
    <x v="2"/>
    <n v="6"/>
    <n v="350"/>
    <n v="2100"/>
    <n v="220"/>
    <n v="780"/>
    <x v="1"/>
    <n v="2024"/>
    <s v="Q1"/>
    <n v="37"/>
    <n v="7.0000000000000007E-2"/>
    <n v="147"/>
    <n v="8300"/>
    <n v="15100"/>
    <n v="147"/>
    <n v="15000"/>
    <s v="Medium"/>
    <s v="Flag"/>
  </r>
  <r>
    <x v="19"/>
    <x v="3"/>
    <x v="2"/>
    <x v="6"/>
    <x v="3"/>
    <n v="60"/>
    <n v="25"/>
    <n v="1500"/>
    <n v="12"/>
    <n v="780"/>
    <x v="1"/>
    <n v="2024"/>
    <s v="Q1"/>
    <n v="52"/>
    <n v="0.08"/>
    <n v="120"/>
    <n v="8150"/>
    <n v="3935"/>
    <n v="120"/>
    <n v="3000"/>
    <s v="Medium"/>
    <s v="Flag"/>
  </r>
  <r>
    <x v="20"/>
    <x v="0"/>
    <x v="0"/>
    <x v="0"/>
    <x v="0"/>
    <n v="9"/>
    <n v="1200"/>
    <n v="10800"/>
    <n v="850"/>
    <n v="3150"/>
    <x v="2"/>
    <n v="2024"/>
    <s v="Q1"/>
    <n v="29"/>
    <n v="0.08"/>
    <n v="864"/>
    <n v="14040"/>
    <n v="15100"/>
    <n v="864"/>
    <n v="15000"/>
    <s v="High"/>
    <s v="Flag"/>
  </r>
  <r>
    <x v="21"/>
    <x v="1"/>
    <x v="1"/>
    <x v="1"/>
    <x v="1"/>
    <n v="7"/>
    <n v="450"/>
    <n v="3150"/>
    <n v="280"/>
    <n v="1190"/>
    <x v="2"/>
    <n v="2024"/>
    <s v="Q1"/>
    <n v="38"/>
    <n v="0.09"/>
    <n v="283.5"/>
    <n v="3150"/>
    <n v="7725"/>
    <n v="283.5"/>
    <n v="8000"/>
    <s v="Medium"/>
    <s v="Flag"/>
  </r>
  <r>
    <x v="22"/>
    <x v="2"/>
    <x v="2"/>
    <x v="8"/>
    <x v="2"/>
    <n v="20"/>
    <n v="85"/>
    <n v="1700"/>
    <n v="42"/>
    <n v="860"/>
    <x v="2"/>
    <n v="2024"/>
    <s v="Q1"/>
    <n v="51"/>
    <n v="7.0000000000000007E-2"/>
    <n v="119.00000000000001"/>
    <n v="1700"/>
    <n v="3935"/>
    <n v="119.00000000000001"/>
    <n v="3000"/>
    <s v="Medium"/>
    <s v="Flag"/>
  </r>
  <r>
    <x v="23"/>
    <x v="3"/>
    <x v="0"/>
    <x v="5"/>
    <x v="3"/>
    <n v="5"/>
    <n v="550"/>
    <n v="2750"/>
    <n v="380"/>
    <n v="850"/>
    <x v="2"/>
    <n v="2024"/>
    <s v="Q1"/>
    <n v="31"/>
    <n v="0.08"/>
    <n v="220"/>
    <n v="2750"/>
    <n v="15100"/>
    <n v="220"/>
    <n v="15000"/>
    <s v="Medium"/>
    <s v="Flag"/>
  </r>
  <r>
    <x v="24"/>
    <x v="0"/>
    <x v="1"/>
    <x v="4"/>
    <x v="0"/>
    <n v="18"/>
    <n v="180"/>
    <n v="3240"/>
    <n v="95"/>
    <n v="1530"/>
    <x v="2"/>
    <n v="2024"/>
    <s v="Q1"/>
    <n v="47"/>
    <n v="0.08"/>
    <n v="259.2"/>
    <n v="14040"/>
    <n v="7725"/>
    <n v="259.2"/>
    <n v="8000"/>
    <s v="Medium"/>
    <s v="Fla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E97DA-1E58-49CB-879E-B1A0FE1F2A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M22" firstHeaderRow="1" firstDataRow="3" firstDataCol="1"/>
  <pivotFields count="23">
    <pivotField numFmtId="14" showAll="0"/>
    <pivotField axis="axisRow" showAll="0">
      <items count="5">
        <item x="2"/>
        <item x="0"/>
        <item x="1"/>
        <item x="3"/>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dataField="1" dragToRow="0" dragToCol="0" dragToPage="0" showAll="0" defaultSubtotal="0"/>
  </pivotFields>
  <rowFields count="2">
    <field x="1"/>
    <field x="2"/>
  </rowFields>
  <rowItems count="17">
    <i>
      <x/>
    </i>
    <i r="1">
      <x/>
    </i>
    <i r="1">
      <x v="1"/>
    </i>
    <i r="1">
      <x v="2"/>
    </i>
    <i>
      <x v="1"/>
    </i>
    <i r="1">
      <x/>
    </i>
    <i r="1">
      <x v="1"/>
    </i>
    <i r="1">
      <x v="2"/>
    </i>
    <i>
      <x v="2"/>
    </i>
    <i r="1">
      <x/>
    </i>
    <i r="1">
      <x v="1"/>
    </i>
    <i r="1">
      <x v="2"/>
    </i>
    <i>
      <x v="3"/>
    </i>
    <i r="1">
      <x/>
    </i>
    <i r="1">
      <x v="1"/>
    </i>
    <i r="1">
      <x v="2"/>
    </i>
    <i t="grand">
      <x/>
    </i>
  </rowItems>
  <colFields count="2">
    <field x="10"/>
    <field x="-2"/>
  </colFields>
  <colItems count="12">
    <i>
      <x/>
      <x/>
    </i>
    <i r="1" i="1">
      <x v="1"/>
    </i>
    <i r="1" i="2">
      <x v="2"/>
    </i>
    <i>
      <x v="1"/>
      <x/>
    </i>
    <i r="1" i="1">
      <x v="1"/>
    </i>
    <i r="1" i="2">
      <x v="2"/>
    </i>
    <i>
      <x v="2"/>
      <x/>
    </i>
    <i r="1" i="1">
      <x v="1"/>
    </i>
    <i r="1" i="2">
      <x v="2"/>
    </i>
    <i t="grand">
      <x/>
    </i>
    <i t="grand" i="1">
      <x/>
    </i>
    <i t="grand" i="2">
      <x/>
    </i>
  </colItems>
  <dataFields count="3">
    <dataField name="Sum of Total_Revenue" fld="7" baseField="0" baseItem="0"/>
    <dataField name="Sum of ProfitMargin" fld="13" baseField="0" baseItem="0"/>
    <dataField name="Sum of Revenue_vs_Target%" fld="22" baseField="0" baseItem="0" numFmtId="10"/>
  </dataFields>
  <conditionalFormats count="8">
    <conditionalFormat priority="1">
      <pivotAreas count="8">
        <pivotArea type="data" collapsedLevelsAreSubtotals="1" fieldPosition="0">
          <references count="3">
            <reference field="4294967294" count="1" selected="0">
              <x v="2"/>
            </reference>
            <reference field="1" count="1">
              <x v="0"/>
            </reference>
            <reference field="10" count="1" selected="0">
              <x v="1"/>
            </reference>
          </references>
        </pivotArea>
        <pivotArea type="data" collapsedLevelsAreSubtotals="1" fieldPosition="0">
          <references count="4">
            <reference field="4294967294" count="1" selected="0">
              <x v="2"/>
            </reference>
            <reference field="1" count="1" selected="0">
              <x v="0"/>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1"/>
            </reference>
            <reference field="10" count="1" selected="0">
              <x v="1"/>
            </reference>
          </references>
        </pivotArea>
        <pivotArea type="data" collapsedLevelsAreSubtotals="1" fieldPosition="0">
          <references count="4">
            <reference field="4294967294" count="1" selected="0">
              <x v="2"/>
            </reference>
            <reference field="1" count="1" selected="0">
              <x v="1"/>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2"/>
            </reference>
            <reference field="10" count="1" selected="0">
              <x v="1"/>
            </reference>
          </references>
        </pivotArea>
        <pivotArea type="data" collapsedLevelsAreSubtotals="1" fieldPosition="0">
          <references count="4">
            <reference field="4294967294" count="1" selected="0">
              <x v="2"/>
            </reference>
            <reference field="1" count="1" selected="0">
              <x v="2"/>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3"/>
            </reference>
            <reference field="10" count="1" selected="0">
              <x v="1"/>
            </reference>
          </references>
        </pivotArea>
        <pivotArea type="data" collapsedLevelsAreSubtotals="1" fieldPosition="0">
          <references count="4">
            <reference field="4294967294" count="1" selected="0">
              <x v="2"/>
            </reference>
            <reference field="1" count="1" selected="0">
              <x v="3"/>
            </reference>
            <reference field="2" count="3">
              <x v="0"/>
              <x v="1"/>
              <x v="2"/>
            </reference>
            <reference field="10" count="1" selected="0">
              <x v="1"/>
            </reference>
          </references>
        </pivotArea>
      </pivotAreas>
    </conditionalFormat>
    <conditionalFormat priority="2">
      <pivotAreas count="8">
        <pivotArea type="data" collapsedLevelsAreSubtotals="1" fieldPosition="0">
          <references count="3">
            <reference field="4294967294" count="1" selected="0">
              <x v="2"/>
            </reference>
            <reference field="1" count="1">
              <x v="0"/>
            </reference>
            <reference field="10" count="1" selected="0">
              <x v="1"/>
            </reference>
          </references>
        </pivotArea>
        <pivotArea type="data" collapsedLevelsAreSubtotals="1" fieldPosition="0">
          <references count="4">
            <reference field="4294967294" count="1" selected="0">
              <x v="2"/>
            </reference>
            <reference field="1" count="1" selected="0">
              <x v="0"/>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1"/>
            </reference>
            <reference field="10" count="1" selected="0">
              <x v="1"/>
            </reference>
          </references>
        </pivotArea>
        <pivotArea type="data" collapsedLevelsAreSubtotals="1" fieldPosition="0">
          <references count="4">
            <reference field="4294967294" count="1" selected="0">
              <x v="2"/>
            </reference>
            <reference field="1" count="1" selected="0">
              <x v="1"/>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2"/>
            </reference>
            <reference field="10" count="1" selected="0">
              <x v="1"/>
            </reference>
          </references>
        </pivotArea>
        <pivotArea type="data" collapsedLevelsAreSubtotals="1" fieldPosition="0">
          <references count="4">
            <reference field="4294967294" count="1" selected="0">
              <x v="2"/>
            </reference>
            <reference field="1" count="1" selected="0">
              <x v="2"/>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3"/>
            </reference>
            <reference field="10" count="1" selected="0">
              <x v="1"/>
            </reference>
          </references>
        </pivotArea>
        <pivotArea type="data" collapsedLevelsAreSubtotals="1" fieldPosition="0">
          <references count="4">
            <reference field="4294967294" count="1" selected="0">
              <x v="2"/>
            </reference>
            <reference field="1" count="1" selected="0">
              <x v="3"/>
            </reference>
            <reference field="2" count="3">
              <x v="0"/>
              <x v="1"/>
              <x v="2"/>
            </reference>
            <reference field="10" count="1" selected="0">
              <x v="1"/>
            </reference>
          </references>
        </pivotArea>
      </pivotAreas>
    </conditionalFormat>
    <conditionalFormat priority="3">
      <pivotAreas count="8">
        <pivotArea type="data" collapsedLevelsAreSubtotals="1" fieldPosition="0">
          <references count="3">
            <reference field="4294967294" count="1" selected="0">
              <x v="2"/>
            </reference>
            <reference field="1" count="1">
              <x v="0"/>
            </reference>
            <reference field="10" count="1" selected="0">
              <x v="1"/>
            </reference>
          </references>
        </pivotArea>
        <pivotArea type="data" collapsedLevelsAreSubtotals="1" fieldPosition="0">
          <references count="4">
            <reference field="4294967294" count="1" selected="0">
              <x v="2"/>
            </reference>
            <reference field="1" count="1" selected="0">
              <x v="0"/>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1"/>
            </reference>
            <reference field="10" count="1" selected="0">
              <x v="1"/>
            </reference>
          </references>
        </pivotArea>
        <pivotArea type="data" collapsedLevelsAreSubtotals="1" fieldPosition="0">
          <references count="4">
            <reference field="4294967294" count="1" selected="0">
              <x v="2"/>
            </reference>
            <reference field="1" count="1" selected="0">
              <x v="1"/>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2"/>
            </reference>
            <reference field="10" count="1" selected="0">
              <x v="1"/>
            </reference>
          </references>
        </pivotArea>
        <pivotArea type="data" collapsedLevelsAreSubtotals="1" fieldPosition="0">
          <references count="4">
            <reference field="4294967294" count="1" selected="0">
              <x v="2"/>
            </reference>
            <reference field="1" count="1" selected="0">
              <x v="2"/>
            </reference>
            <reference field="2" count="3">
              <x v="0"/>
              <x v="1"/>
              <x v="2"/>
            </reference>
            <reference field="10" count="1" selected="0">
              <x v="1"/>
            </reference>
          </references>
        </pivotArea>
        <pivotArea type="data" collapsedLevelsAreSubtotals="1" fieldPosition="0">
          <references count="3">
            <reference field="4294967294" count="1" selected="0">
              <x v="2"/>
            </reference>
            <reference field="1" count="1">
              <x v="3"/>
            </reference>
            <reference field="10" count="1" selected="0">
              <x v="1"/>
            </reference>
          </references>
        </pivotArea>
        <pivotArea type="data" collapsedLevelsAreSubtotals="1" fieldPosition="0">
          <references count="4">
            <reference field="4294967294" count="1" selected="0">
              <x v="2"/>
            </reference>
            <reference field="1" count="1" selected="0">
              <x v="3"/>
            </reference>
            <reference field="2" count="3">
              <x v="0"/>
              <x v="1"/>
              <x v="2"/>
            </reference>
            <reference field="10" count="1" selected="0">
              <x v="1"/>
            </reference>
          </references>
        </pivotArea>
      </pivotAreas>
    </conditionalFormat>
    <conditionalFormat priority="4">
      <pivotAreas count="8">
        <pivotArea type="data" grandCol="1" collapsedLevelsAreSubtotals="1" fieldPosition="0">
          <references count="2">
            <reference field="4294967294" count="1" selected="0">
              <x v="0"/>
            </reference>
            <reference field="1" count="1">
              <x v="0"/>
            </reference>
          </references>
        </pivotArea>
        <pivotArea type="data" grandCol="1" collapsedLevelsAreSubtotals="1" fieldPosition="0">
          <references count="3">
            <reference field="4294967294" count="1" selected="0">
              <x v="0"/>
            </reference>
            <reference field="1" count="1" selected="0">
              <x v="0"/>
            </reference>
            <reference field="2" count="3">
              <x v="0"/>
              <x v="1"/>
              <x v="2"/>
            </reference>
          </references>
        </pivotArea>
        <pivotArea type="data" grandCol="1" collapsedLevelsAreSubtotals="1" fieldPosition="0">
          <references count="2">
            <reference field="4294967294" count="1" selected="0">
              <x v="0"/>
            </reference>
            <reference field="1" count="1">
              <x v="1"/>
            </reference>
          </references>
        </pivotArea>
        <pivotArea type="data" grandCol="1" collapsedLevelsAreSubtotals="1" fieldPosition="0">
          <references count="3">
            <reference field="4294967294" count="1" selected="0">
              <x v="0"/>
            </reference>
            <reference field="1" count="1" selected="0">
              <x v="1"/>
            </reference>
            <reference field="2" count="3">
              <x v="0"/>
              <x v="1"/>
              <x v="2"/>
            </reference>
          </references>
        </pivotArea>
        <pivotArea type="data" grandCol="1" collapsedLevelsAreSubtotals="1" fieldPosition="0">
          <references count="2">
            <reference field="4294967294" count="1" selected="0">
              <x v="0"/>
            </reference>
            <reference field="1" count="1">
              <x v="2"/>
            </reference>
          </references>
        </pivotArea>
        <pivotArea type="data" grandCol="1" collapsedLevelsAreSubtotals="1" fieldPosition="0">
          <references count="3">
            <reference field="4294967294" count="1" selected="0">
              <x v="0"/>
            </reference>
            <reference field="1" count="1" selected="0">
              <x v="2"/>
            </reference>
            <reference field="2" count="3">
              <x v="0"/>
              <x v="1"/>
              <x v="2"/>
            </reference>
          </references>
        </pivotArea>
        <pivotArea type="data" grandCol="1" collapsedLevelsAreSubtotals="1" fieldPosition="0">
          <references count="2">
            <reference field="4294967294" count="1" selected="0">
              <x v="0"/>
            </reference>
            <reference field="1" count="1">
              <x v="3"/>
            </reference>
          </references>
        </pivotArea>
        <pivotArea type="data" grandCol="1" collapsedLevelsAreSubtotals="1" fieldPosition="0">
          <references count="3">
            <reference field="4294967294" count="1" selected="0">
              <x v="0"/>
            </reference>
            <reference field="1" count="1" selected="0">
              <x v="3"/>
            </reference>
            <reference field="2" count="3">
              <x v="0"/>
              <x v="1"/>
              <x v="2"/>
            </reference>
          </references>
        </pivotArea>
      </pivotAreas>
    </conditionalFormat>
    <conditionalFormat priority="5">
      <pivotAreas count="8">
        <pivotArea type="data" grandCol="1" collapsedLevelsAreSubtotals="1" fieldPosition="0">
          <references count="2">
            <reference field="4294967294" count="1" selected="0">
              <x v="0"/>
            </reference>
            <reference field="1" count="1">
              <x v="0"/>
            </reference>
          </references>
        </pivotArea>
        <pivotArea type="data" grandCol="1" collapsedLevelsAreSubtotals="1" fieldPosition="0">
          <references count="3">
            <reference field="4294967294" count="1" selected="0">
              <x v="0"/>
            </reference>
            <reference field="1" count="1" selected="0">
              <x v="0"/>
            </reference>
            <reference field="2" count="3">
              <x v="0"/>
              <x v="1"/>
              <x v="2"/>
            </reference>
          </references>
        </pivotArea>
        <pivotArea type="data" grandCol="1" collapsedLevelsAreSubtotals="1" fieldPosition="0">
          <references count="2">
            <reference field="4294967294" count="1" selected="0">
              <x v="0"/>
            </reference>
            <reference field="1" count="1">
              <x v="1"/>
            </reference>
          </references>
        </pivotArea>
        <pivotArea type="data" grandCol="1" collapsedLevelsAreSubtotals="1" fieldPosition="0">
          <references count="3">
            <reference field="4294967294" count="1" selected="0">
              <x v="0"/>
            </reference>
            <reference field="1" count="1" selected="0">
              <x v="1"/>
            </reference>
            <reference field="2" count="3">
              <x v="0"/>
              <x v="1"/>
              <x v="2"/>
            </reference>
          </references>
        </pivotArea>
        <pivotArea type="data" grandCol="1" collapsedLevelsAreSubtotals="1" fieldPosition="0">
          <references count="2">
            <reference field="4294967294" count="1" selected="0">
              <x v="0"/>
            </reference>
            <reference field="1" count="1">
              <x v="2"/>
            </reference>
          </references>
        </pivotArea>
        <pivotArea type="data" grandCol="1" collapsedLevelsAreSubtotals="1" fieldPosition="0">
          <references count="3">
            <reference field="4294967294" count="1" selected="0">
              <x v="0"/>
            </reference>
            <reference field="1" count="1" selected="0">
              <x v="2"/>
            </reference>
            <reference field="2" count="3">
              <x v="0"/>
              <x v="1"/>
              <x v="2"/>
            </reference>
          </references>
        </pivotArea>
        <pivotArea type="data" grandCol="1" collapsedLevelsAreSubtotals="1" fieldPosition="0">
          <references count="2">
            <reference field="4294967294" count="1" selected="0">
              <x v="0"/>
            </reference>
            <reference field="1" count="1">
              <x v="3"/>
            </reference>
          </references>
        </pivotArea>
        <pivotArea type="data" grandCol="1" collapsedLevelsAreSubtotals="1" fieldPosition="0">
          <references count="3">
            <reference field="4294967294" count="1" selected="0">
              <x v="0"/>
            </reference>
            <reference field="1" count="1" selected="0">
              <x v="3"/>
            </reference>
            <reference field="2" count="3">
              <x v="0"/>
              <x v="1"/>
              <x v="2"/>
            </reference>
          </references>
        </pivotArea>
      </pivotAreas>
    </conditionalFormat>
    <conditionalFormat priority="6">
      <pivotAreas count="8">
        <pivotArea type="data" grandCol="1" collapsedLevelsAreSubtotals="1" fieldPosition="0">
          <references count="2">
            <reference field="4294967294" count="1" selected="0">
              <x v="1"/>
            </reference>
            <reference field="1" count="1">
              <x v="0"/>
            </reference>
          </references>
        </pivotArea>
        <pivotArea type="data" grandCol="1" collapsedLevelsAreSubtotals="1" fieldPosition="0">
          <references count="3">
            <reference field="4294967294" count="1" selected="0">
              <x v="1"/>
            </reference>
            <reference field="1" count="1" selected="0">
              <x v="0"/>
            </reference>
            <reference field="2" count="3">
              <x v="0"/>
              <x v="1"/>
              <x v="2"/>
            </reference>
          </references>
        </pivotArea>
        <pivotArea type="data" grandCol="1" collapsedLevelsAreSubtotals="1" fieldPosition="0">
          <references count="2">
            <reference field="4294967294" count="1" selected="0">
              <x v="1"/>
            </reference>
            <reference field="1" count="1">
              <x v="1"/>
            </reference>
          </references>
        </pivotArea>
        <pivotArea type="data" grandCol="1" collapsedLevelsAreSubtotals="1" fieldPosition="0">
          <references count="3">
            <reference field="4294967294" count="1" selected="0">
              <x v="1"/>
            </reference>
            <reference field="1" count="1" selected="0">
              <x v="1"/>
            </reference>
            <reference field="2" count="3">
              <x v="0"/>
              <x v="1"/>
              <x v="2"/>
            </reference>
          </references>
        </pivotArea>
        <pivotArea type="data" grandCol="1" collapsedLevelsAreSubtotals="1" fieldPosition="0">
          <references count="2">
            <reference field="4294967294" count="1" selected="0">
              <x v="1"/>
            </reference>
            <reference field="1" count="1">
              <x v="2"/>
            </reference>
          </references>
        </pivotArea>
        <pivotArea type="data" grandCol="1" collapsedLevelsAreSubtotals="1" fieldPosition="0">
          <references count="3">
            <reference field="4294967294" count="1" selected="0">
              <x v="1"/>
            </reference>
            <reference field="1" count="1" selected="0">
              <x v="2"/>
            </reference>
            <reference field="2" count="3">
              <x v="0"/>
              <x v="1"/>
              <x v="2"/>
            </reference>
          </references>
        </pivotArea>
        <pivotArea type="data" grandCol="1" collapsedLevelsAreSubtotals="1" fieldPosition="0">
          <references count="2">
            <reference field="4294967294" count="1" selected="0">
              <x v="1"/>
            </reference>
            <reference field="1" count="1">
              <x v="3"/>
            </reference>
          </references>
        </pivotArea>
        <pivotArea type="data" grandCol="1" collapsedLevelsAreSubtotals="1" fieldPosition="0">
          <references count="3">
            <reference field="4294967294" count="1" selected="0">
              <x v="1"/>
            </reference>
            <reference field="1" count="1" selected="0">
              <x v="3"/>
            </reference>
            <reference field="2" count="3">
              <x v="0"/>
              <x v="1"/>
              <x v="2"/>
            </reference>
          </references>
        </pivotArea>
      </pivotAreas>
    </conditionalFormat>
    <conditionalFormat priority="7">
      <pivotAreas count="8">
        <pivotArea type="data" grandCol="1" collapsedLevelsAreSubtotals="1" fieldPosition="0">
          <references count="2">
            <reference field="4294967294" count="1" selected="0">
              <x v="1"/>
            </reference>
            <reference field="1" count="1">
              <x v="0"/>
            </reference>
          </references>
        </pivotArea>
        <pivotArea type="data" grandCol="1" collapsedLevelsAreSubtotals="1" fieldPosition="0">
          <references count="3">
            <reference field="4294967294" count="1" selected="0">
              <x v="1"/>
            </reference>
            <reference field="1" count="1" selected="0">
              <x v="0"/>
            </reference>
            <reference field="2" count="3">
              <x v="0"/>
              <x v="1"/>
              <x v="2"/>
            </reference>
          </references>
        </pivotArea>
        <pivotArea type="data" grandCol="1" collapsedLevelsAreSubtotals="1" fieldPosition="0">
          <references count="2">
            <reference field="4294967294" count="1" selected="0">
              <x v="1"/>
            </reference>
            <reference field="1" count="1">
              <x v="1"/>
            </reference>
          </references>
        </pivotArea>
        <pivotArea type="data" grandCol="1" collapsedLevelsAreSubtotals="1" fieldPosition="0">
          <references count="3">
            <reference field="4294967294" count="1" selected="0">
              <x v="1"/>
            </reference>
            <reference field="1" count="1" selected="0">
              <x v="1"/>
            </reference>
            <reference field="2" count="3">
              <x v="0"/>
              <x v="1"/>
              <x v="2"/>
            </reference>
          </references>
        </pivotArea>
        <pivotArea type="data" grandCol="1" collapsedLevelsAreSubtotals="1" fieldPosition="0">
          <references count="2">
            <reference field="4294967294" count="1" selected="0">
              <x v="1"/>
            </reference>
            <reference field="1" count="1">
              <x v="2"/>
            </reference>
          </references>
        </pivotArea>
        <pivotArea type="data" grandCol="1" collapsedLevelsAreSubtotals="1" fieldPosition="0">
          <references count="3">
            <reference field="4294967294" count="1" selected="0">
              <x v="1"/>
            </reference>
            <reference field="1" count="1" selected="0">
              <x v="2"/>
            </reference>
            <reference field="2" count="3">
              <x v="0"/>
              <x v="1"/>
              <x v="2"/>
            </reference>
          </references>
        </pivotArea>
        <pivotArea type="data" grandCol="1" collapsedLevelsAreSubtotals="1" fieldPosition="0">
          <references count="2">
            <reference field="4294967294" count="1" selected="0">
              <x v="1"/>
            </reference>
            <reference field="1" count="1">
              <x v="3"/>
            </reference>
          </references>
        </pivotArea>
        <pivotArea type="data" grandCol="1" collapsedLevelsAreSubtotals="1" fieldPosition="0">
          <references count="3">
            <reference field="4294967294" count="1" selected="0">
              <x v="1"/>
            </reference>
            <reference field="1" count="1" selected="0">
              <x v="3"/>
            </reference>
            <reference field="2" count="3">
              <x v="0"/>
              <x v="1"/>
              <x v="2"/>
            </reference>
          </references>
        </pivotArea>
      </pivotAreas>
    </conditionalFormat>
    <conditionalFormat priority="8">
      <pivotAreas count="8">
        <pivotArea type="data" grandCol="1" collapsedLevelsAreSubtotals="1" fieldPosition="0">
          <references count="3">
            <reference field="4294967294" count="1" selected="0">
              <x v="1"/>
            </reference>
            <reference field="1" count="1" selected="0">
              <x v="0"/>
            </reference>
            <reference field="2" count="3">
              <x v="0"/>
              <x v="1"/>
              <x v="2"/>
            </reference>
          </references>
        </pivotArea>
        <pivotArea type="data" grandCol="1" collapsedLevelsAreSubtotals="1" fieldPosition="0">
          <references count="2">
            <reference field="4294967294" count="1" selected="0">
              <x v="1"/>
            </reference>
            <reference field="1" count="1">
              <x v="0"/>
            </reference>
          </references>
        </pivotArea>
        <pivotArea type="data" grandCol="1" collapsedLevelsAreSubtotals="1" fieldPosition="0">
          <references count="2">
            <reference field="4294967294" count="1" selected="0">
              <x v="1"/>
            </reference>
            <reference field="1" count="1">
              <x v="1"/>
            </reference>
          </references>
        </pivotArea>
        <pivotArea type="data" grandCol="1" collapsedLevelsAreSubtotals="1" fieldPosition="0">
          <references count="3">
            <reference field="4294967294" count="1" selected="0">
              <x v="1"/>
            </reference>
            <reference field="1" count="1" selected="0">
              <x v="1"/>
            </reference>
            <reference field="2" count="3">
              <x v="0"/>
              <x v="1"/>
              <x v="2"/>
            </reference>
          </references>
        </pivotArea>
        <pivotArea type="data" grandCol="1" collapsedLevelsAreSubtotals="1" fieldPosition="0">
          <references count="2">
            <reference field="4294967294" count="1" selected="0">
              <x v="1"/>
            </reference>
            <reference field="1" count="1">
              <x v="2"/>
            </reference>
          </references>
        </pivotArea>
        <pivotArea type="data" grandCol="1" collapsedLevelsAreSubtotals="1" fieldPosition="0">
          <references count="3">
            <reference field="4294967294" count="1" selected="0">
              <x v="1"/>
            </reference>
            <reference field="1" count="1" selected="0">
              <x v="2"/>
            </reference>
            <reference field="2" count="3">
              <x v="0"/>
              <x v="1"/>
              <x v="2"/>
            </reference>
          </references>
        </pivotArea>
        <pivotArea type="data" grandCol="1" collapsedLevelsAreSubtotals="1" fieldPosition="0">
          <references count="2">
            <reference field="4294967294" count="1" selected="0">
              <x v="1"/>
            </reference>
            <reference field="1" count="1">
              <x v="3"/>
            </reference>
          </references>
        </pivotArea>
        <pivotArea type="data" grandCol="1" collapsedLevelsAreSubtotals="1" fieldPosition="0">
          <references count="3">
            <reference field="4294967294" count="1" selected="0">
              <x v="1"/>
            </reference>
            <reference field="1" count="1" selected="0">
              <x v="3"/>
            </reference>
            <reference field="2" count="3">
              <x v="0"/>
              <x v="1"/>
              <x v="2"/>
            </reference>
          </references>
        </pivotArea>
      </pivotAreas>
    </conditionalFormat>
  </conditionalFormats>
  <chartFormats count="12">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1"/>
          </reference>
          <reference field="10" count="1" selected="0">
            <x v="0"/>
          </reference>
        </references>
      </pivotArea>
    </chartFormat>
    <chartFormat chart="3" format="2" series="1">
      <pivotArea type="data" outline="0" fieldPosition="0">
        <references count="2">
          <reference field="4294967294" count="1" selected="0">
            <x v="2"/>
          </reference>
          <reference field="10" count="1" selected="0">
            <x v="0"/>
          </reference>
        </references>
      </pivotArea>
    </chartFormat>
    <chartFormat chart="3" format="3"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1"/>
          </reference>
          <reference field="10" count="1" selected="0">
            <x v="1"/>
          </reference>
        </references>
      </pivotArea>
    </chartFormat>
    <chartFormat chart="3" format="5" series="1">
      <pivotArea type="data" outline="0" fieldPosition="0">
        <references count="2">
          <reference field="4294967294" count="1" selected="0">
            <x v="2"/>
          </reference>
          <reference field="10" count="1" selected="0">
            <x v="1"/>
          </reference>
        </references>
      </pivotArea>
    </chartFormat>
    <chartFormat chart="3" format="6" series="1">
      <pivotArea type="data" outline="0" fieldPosition="0">
        <references count="2">
          <reference field="4294967294" count="1" selected="0">
            <x v="0"/>
          </reference>
          <reference field="10" count="1" selected="0">
            <x v="2"/>
          </reference>
        </references>
      </pivotArea>
    </chartFormat>
    <chartFormat chart="3" format="7" series="1">
      <pivotArea type="data" outline="0" fieldPosition="0">
        <references count="2">
          <reference field="4294967294" count="1" selected="0">
            <x v="1"/>
          </reference>
          <reference field="10" count="1" selected="0">
            <x v="2"/>
          </reference>
        </references>
      </pivotArea>
    </chartFormat>
    <chartFormat chart="3" format="8" series="1">
      <pivotArea type="data" outline="0" fieldPosition="0">
        <references count="2">
          <reference field="4294967294" count="1" selected="0">
            <x v="2"/>
          </reference>
          <reference field="10" count="1" selected="0">
            <x v="2"/>
          </reference>
        </references>
      </pivotArea>
    </chartFormat>
    <chartFormat chart="3" format="9" series="1">
      <pivotArea type="data" grandCol="1" outline="0" fieldPosition="0">
        <references count="1">
          <reference field="4294967294" count="1" selected="0">
            <x v="0"/>
          </reference>
        </references>
      </pivotArea>
    </chartFormat>
    <chartFormat chart="3" format="10" series="1">
      <pivotArea type="data" grandCol="1" outline="0" fieldPosition="0">
        <references count="1">
          <reference field="4294967294" count="1" selected="0">
            <x v="1"/>
          </reference>
        </references>
      </pivotArea>
    </chartFormat>
    <chartFormat chart="3" format="11"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09A20-3BF9-421F-B8FF-F79DCC940D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3">
    <pivotField numFmtId="14" showAll="0"/>
    <pivotField showAll="0">
      <items count="5">
        <item x="2"/>
        <item x="0"/>
        <item x="1"/>
        <item x="3"/>
        <item t="default"/>
      </items>
    </pivotField>
    <pivotField showAll="0">
      <items count="4">
        <item x="0"/>
        <item x="1"/>
        <item x="2"/>
        <item t="default"/>
      </items>
    </pivotField>
    <pivotField showAll="0"/>
    <pivotField axis="axisRow" dataField="1" showAll="0" measureFilter="1"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4"/>
  </rowFields>
  <rowItems count="5">
    <i>
      <x v="2"/>
    </i>
    <i>
      <x v="1"/>
    </i>
    <i>
      <x/>
    </i>
    <i>
      <x v="3"/>
    </i>
    <i t="grand">
      <x/>
    </i>
  </rowItems>
  <colFields count="1">
    <field x="-2"/>
  </colFields>
  <colItems count="3">
    <i>
      <x/>
    </i>
    <i i="1">
      <x v="1"/>
    </i>
    <i i="2">
      <x v="2"/>
    </i>
  </colItems>
  <dataFields count="3">
    <dataField name="Sum of Total_Revenue" fld="7" baseField="4" baseItem="0"/>
    <dataField name="Count of Sales_Rep" fld="4" subtotal="count" baseField="4" baseItem="0"/>
    <dataField name="Sum of Commission_Amount" fld="18"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E2D33A-C305-4159-B626-E50B6EB983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23">
    <pivotField numFmtId="14" showAll="0"/>
    <pivotField showAll="0">
      <items count="5">
        <item x="2"/>
        <item x="0"/>
        <item x="1"/>
        <item x="3"/>
        <item t="default"/>
      </items>
    </pivotField>
    <pivotField axis="axisRow" showAll="0">
      <items count="4">
        <item x="0"/>
        <item x="1"/>
        <item x="2"/>
        <item t="default"/>
      </items>
    </pivotField>
    <pivotField axis="axisRow" showAll="0">
      <items count="11">
        <item x="7"/>
        <item x="4"/>
        <item x="1"/>
        <item x="0"/>
        <item x="2"/>
        <item x="6"/>
        <item x="9"/>
        <item x="3"/>
        <item x="5"/>
        <item x="8"/>
        <item t="default"/>
      </items>
    </pivotField>
    <pivotField showAll="0"/>
    <pivotField dataField="1" showAll="0"/>
    <pivotField showAll="0"/>
    <pivotField showAll="0"/>
    <pivotField showAll="0"/>
    <pivotField dataField="1"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2">
    <field x="2"/>
    <field x="3"/>
  </rowFields>
  <rowItems count="14">
    <i>
      <x/>
    </i>
    <i r="1">
      <x v="3"/>
    </i>
    <i r="1">
      <x v="4"/>
    </i>
    <i r="1">
      <x v="8"/>
    </i>
    <i>
      <x v="1"/>
    </i>
    <i r="1">
      <x/>
    </i>
    <i r="1">
      <x v="1"/>
    </i>
    <i r="1">
      <x v="2"/>
    </i>
    <i>
      <x v="2"/>
    </i>
    <i r="1">
      <x v="5"/>
    </i>
    <i r="1">
      <x v="6"/>
    </i>
    <i r="1">
      <x v="7"/>
    </i>
    <i r="1">
      <x v="9"/>
    </i>
    <i t="grand">
      <x/>
    </i>
  </rowItems>
  <colFields count="1">
    <field x="-2"/>
  </colFields>
  <colItems count="2">
    <i>
      <x/>
    </i>
    <i i="1">
      <x v="1"/>
    </i>
  </colItems>
  <dataFields count="2">
    <dataField name="Sum of Units_Sold" fld="5"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1FDC0-A902-4074-B2B2-DF5857415B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1:D16" firstHeaderRow="0" firstDataRow="1" firstDataCol="1"/>
  <pivotFields count="23">
    <pivotField numFmtId="14" showAll="0"/>
    <pivotField showAll="0">
      <items count="5">
        <item x="2"/>
        <item x="0"/>
        <item x="1"/>
        <item x="3"/>
        <item t="default"/>
      </items>
    </pivotField>
    <pivotField showAll="0">
      <items count="4">
        <item x="0"/>
        <item x="1"/>
        <item x="2"/>
        <item t="default"/>
      </items>
    </pivotField>
    <pivotField showAll="0"/>
    <pivotField axis="axisRow" dataField="1" showAll="0">
      <items count="5">
        <item x="2"/>
        <item x="1"/>
        <item x="0"/>
        <item x="3"/>
        <item t="default"/>
      </items>
    </pivotField>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Total_Revenue" fld="7" baseField="0" baseItem="0"/>
    <dataField name="Sum of Commission-Amount" fld="15" baseField="0" baseItem="0"/>
    <dataField name="Count of Sales_Rep" fld="4" subtotal="count" baseField="0" baseItem="0"/>
  </dataFields>
  <chartFormats count="4">
    <chartFormat chart="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3BC5FF-7260-42D2-AFEA-9233FE1AB8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7:E21" firstHeaderRow="1" firstDataRow="1" firstDataCol="1"/>
  <pivotFields count="23">
    <pivotField numFmtId="14" showAll="0"/>
    <pivotField showAll="0">
      <items count="5">
        <item x="2"/>
        <item x="0"/>
        <item x="1"/>
        <item x="3"/>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4">
    <i>
      <x/>
    </i>
    <i>
      <x v="1"/>
    </i>
    <i>
      <x v="2"/>
    </i>
    <i t="grand">
      <x/>
    </i>
  </rowItems>
  <colItems count="1">
    <i/>
  </colItems>
  <dataFields count="1">
    <dataField name="Sum of Total_Revenue" fld="7" baseField="0" baseItem="0"/>
  </dataFields>
  <chartFormats count="4">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21DEEB-46D3-452D-BE6C-1DCC280835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2" firstHeaderRow="1" firstDataRow="1" firstDataCol="1"/>
  <pivotFields count="23">
    <pivotField numFmtId="14" showAll="0"/>
    <pivotField showAll="0">
      <items count="5">
        <item x="2"/>
        <item x="0"/>
        <item x="1"/>
        <item x="3"/>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0"/>
  </rowFields>
  <rowItems count="4">
    <i>
      <x/>
    </i>
    <i>
      <x v="1"/>
    </i>
    <i>
      <x v="2"/>
    </i>
    <i t="grand">
      <x/>
    </i>
  </rowItems>
  <colItems count="1">
    <i/>
  </colItems>
  <dataFields count="1">
    <dataField name="Sum of Profit" fld="9"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356EBB-E383-4C8D-9E5E-4199E8678B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pivotFields count="23">
    <pivotField numFmtId="14" showAll="0"/>
    <pivotField axis="axisRow" showAll="0">
      <items count="5">
        <item x="2"/>
        <item x="0"/>
        <item x="1"/>
        <item x="3"/>
        <item t="default"/>
      </items>
    </pivotField>
    <pivotField showAll="0">
      <items count="4">
        <item x="0"/>
        <item x="1"/>
        <item x="2"/>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1"/>
  </rowFields>
  <rowItems count="5">
    <i>
      <x/>
    </i>
    <i>
      <x v="1"/>
    </i>
    <i>
      <x v="2"/>
    </i>
    <i>
      <x v="3"/>
    </i>
    <i t="grand">
      <x/>
    </i>
  </rowItems>
  <colFields count="1">
    <field x="10"/>
  </colFields>
  <colItems count="4">
    <i>
      <x/>
    </i>
    <i>
      <x v="1"/>
    </i>
    <i>
      <x v="2"/>
    </i>
    <i t="grand">
      <x/>
    </i>
  </colItems>
  <dataFields count="1">
    <dataField name="Sum of Target_Revenue" fld="19" baseField="0" baseItem="0"/>
  </dataFields>
  <chartFormats count="4">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7C3FC2C1-FB30-4929-803D-2CC1FF87A087}" autoFormatId="16" applyNumberFormats="0" applyBorderFormats="0" applyFontFormats="0" applyPatternFormats="0" applyAlignmentFormats="0" applyWidthHeightFormats="0">
  <queryTableRefresh nextId="6">
    <queryTableFields count="5">
      <queryTableField id="1" name="Sales_Rep   " tableColumnId="1"/>
      <queryTableField id="2" name=" Region " tableColumnId="2"/>
      <queryTableField id="3" name=" Hire_Date  " tableColumnId="3"/>
      <queryTableField id="4" name=" Commission_Rate" tableColumnId="4"/>
      <queryTableField id="5" name="Days_since_hire "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E93C4ED2-8B26-44A5-8704-A728350039EA}" autoFormatId="16" applyNumberFormats="0" applyBorderFormats="0" applyFontFormats="0" applyPatternFormats="0" applyAlignmentFormats="0" applyWidthHeightFormats="0">
  <queryTableRefresh nextId="5">
    <queryTableFields count="4">
      <queryTableField id="1" name="Month    " tableColumnId="1"/>
      <queryTableField id="2" name=" Department  " tableColumnId="2"/>
      <queryTableField id="3" name=" Expense_Category " tableColumnId="3"/>
      <queryTableField id="4" name=" Amoun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1A5E7DC-C8E2-4332-A8F2-ACFAE17A4C63}" autoFormatId="16" applyNumberFormats="0" applyBorderFormats="0" applyFontFormats="0" applyPatternFormats="0" applyAlignmentFormats="0" applyWidthHeightFormats="0">
  <queryTableRefresh nextId="6">
    <queryTableFields count="4">
      <queryTableField id="1" name="Region " tableColumnId="1"/>
      <queryTableField id="2" name=" Month     " tableColumnId="2"/>
      <queryTableField id="3" name=" Target_Revenue " tableColumnId="3"/>
      <queryTableField id="4" name=" Catego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5EF86E5-37E2-43CE-A103-54F67A74D1E3}" autoFormatId="16" applyNumberFormats="0" applyBorderFormats="0" applyFontFormats="0" applyPatternFormats="0" applyAlignmentFormats="0" applyWidthHeightFormats="0">
  <queryTableRefresh nextId="39" unboundColumnsRight="6">
    <queryTableFields count="22">
      <queryTableField id="1" name="Date" tableColumnId="1"/>
      <queryTableField id="2" name="Region" tableColumnId="2"/>
      <queryTableField id="3" name="Product_Category" tableColumnId="3"/>
      <queryTableField id="4" name="Product" tableColumnId="4"/>
      <queryTableField id="5" name="Sales_Rep" tableColumnId="5"/>
      <queryTableField id="6" name="Units_Sold" tableColumnId="6"/>
      <queryTableField id="7" name="Unit_Price" tableColumnId="7"/>
      <queryTableField id="8" name="Total_Revenue" tableColumnId="8"/>
      <queryTableField id="9" name="Cost_Per_Unit" tableColumnId="9"/>
      <queryTableField id="10" name="Profit" tableColumnId="10"/>
      <queryTableField id="11" name="Month" tableColumnId="11"/>
      <queryTableField id="12" name="Year" tableColumnId="12"/>
      <queryTableField id="23" dataBound="0" tableColumnId="23"/>
      <queryTableField id="13" name="Profit Margin" tableColumnId="13"/>
      <queryTableField id="14" name="Sales_Rep_Info. Commission_Rate" tableColumnId="14"/>
      <queryTableField id="15" name="Commission-Amount" tableColumnId="15"/>
      <queryTableField id="16" dataBound="0" tableColumnId="16"/>
      <queryTableField id="21" dataBound="0" tableColumnId="21"/>
      <queryTableField id="32" dataBound="0" tableColumnId="25"/>
      <queryTableField id="35" dataBound="0" tableColumnId="28"/>
      <queryTableField id="37" dataBound="0" tableColumnId="17"/>
      <queryTableField id="3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D26331F-D699-47BE-8F91-B0082D83431F}" sourceName="Region">
  <pivotTables>
    <pivotTable tabId="14" name="PivotTable1"/>
    <pivotTable tabId="11" name="PivotTable3"/>
    <pivotTable tabId="9" name="PivotTable1"/>
    <pivotTable tabId="10" name="PivotTable2"/>
    <pivotTable tabId="14" name="PivotTable3"/>
    <pivotTable tabId="14" name="PivotTable4"/>
    <pivotTable tabId="14" name="PivotTable5"/>
  </pivotTables>
  <data>
    <tabular pivotCacheId="88605924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C4D958B-3D78-4736-BC9A-9954603BC9CC}" sourceName="Product_Category">
  <pivotTables>
    <pivotTable tabId="14" name="PivotTable1"/>
    <pivotTable tabId="11" name="PivotTable3"/>
    <pivotTable tabId="9" name="PivotTable1"/>
    <pivotTable tabId="10" name="PivotTable2"/>
    <pivotTable tabId="14" name="PivotTable3"/>
    <pivotTable tabId="14" name="PivotTable4"/>
    <pivotTable tabId="14" name="PivotTable5"/>
  </pivotTables>
  <data>
    <tabular pivotCacheId="8860592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0D27F4C-C464-4456-87E6-0A6139A4ECB8}" sourceName="Month">
  <pivotTables>
    <pivotTable tabId="14" name="PivotTable1"/>
    <pivotTable tabId="11" name="PivotTable3"/>
    <pivotTable tabId="9" name="PivotTable1"/>
    <pivotTable tabId="10" name="PivotTable2"/>
    <pivotTable tabId="14" name="PivotTable3"/>
    <pivotTable tabId="14" name="PivotTable4"/>
    <pivotTable tabId="14" name="PivotTable5"/>
  </pivotTables>
  <data>
    <tabular pivotCacheId="8860592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6D1F3E-92DD-4122-93F0-7CFD03A115D3}" cache="Slicer_Region1" caption="Region" style="SlicerStyleOther2" rowHeight="257175"/>
  <slicer name="Month" xr10:uid="{45746D31-37AF-49F6-9487-95B31E9396D1}" cache="Slicer_Month1" caption="Month" style="SlicerStyleLight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353A0B0-9308-47FD-8F03-C2384A789214}" cache="Slicer_Region1" caption="Region" rowHeight="257175"/>
  <slicer name="Product_Category" xr10:uid="{E0170136-B7F6-4D16-A23A-329DE2B41426}" cache="Slicer_Product_Category" caption="Product_Category" rowHeight="257175"/>
  <slicer name="Month 1" xr10:uid="{D688B3D8-951F-43F0-A3B4-9B576009683B}" cache="Slicer_Month1" caption="Month"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21DABED-1296-4EB6-94EC-5B85BFB032C5}" name="Sales_Rep_Info" displayName="Sales_Rep_Info" ref="A1:E5" tableType="queryTable" totalsRowShown="0">
  <autoFilter ref="A1:E5" xr:uid="{721DABED-1296-4EB6-94EC-5B85BFB032C5}"/>
  <tableColumns count="5">
    <tableColumn id="1" xr3:uid="{427F840B-5C10-4091-BE8F-C3A7D06B570A}" uniqueName="1" name="Sales_Rep" queryTableFieldId="1" dataDxfId="35"/>
    <tableColumn id="2" xr3:uid="{8FBB43BC-B5C1-4715-98C2-F19B6673A59E}" uniqueName="2" name="Region" queryTableFieldId="2" dataDxfId="34"/>
    <tableColumn id="3" xr3:uid="{83FC7587-1A92-4D52-968D-AAF8721A13E5}" uniqueName="3" name="Hire_Date" queryTableFieldId="3" dataDxfId="33"/>
    <tableColumn id="4" xr3:uid="{F70779BA-C45E-487C-8102-C23A3E97785E}" uniqueName="4" name="Commission_Rate" queryTableFieldId="4"/>
    <tableColumn id="5" xr3:uid="{6DF82E2B-B664-4914-A670-A5A45FA60D91}" uniqueName="5" name="Days_since_hire"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43FA11-EB90-4B32-A275-58D3EFD84273}" name="Expenses" displayName="Expenses" ref="A1:D19" tableType="queryTable" totalsRowShown="0">
  <autoFilter ref="A1:D19" xr:uid="{7743FA11-EB90-4B32-A275-58D3EFD84273}"/>
  <tableColumns count="4">
    <tableColumn id="1" xr3:uid="{C8A77B2A-86B3-43D1-B714-55B31C981820}" uniqueName="1" name="Month" queryTableFieldId="1" dataDxfId="32"/>
    <tableColumn id="2" xr3:uid="{1FDFE592-5142-4AA5-AE75-DEDC954437A9}" uniqueName="2" name="Department" queryTableFieldId="2" dataDxfId="31"/>
    <tableColumn id="3" xr3:uid="{F70C7BAB-266A-4DA1-985A-CA124D037B91}" uniqueName="3" name="Expense_Category" queryTableFieldId="3" dataDxfId="30"/>
    <tableColumn id="4" xr3:uid="{F539D600-4A8E-41FA-B0DF-A9EFDC2F070E}" uniqueName="4" name="Amoun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3F94AD-AB53-4C38-9C0C-6D8FF83C6BBB}" name="Sales_Targets" displayName="Sales_Targets" ref="A1:D37" tableType="queryTable" totalsRowShown="0">
  <autoFilter ref="A1:D37" xr:uid="{283F94AD-AB53-4C38-9C0C-6D8FF83C6BBB}"/>
  <tableColumns count="4">
    <tableColumn id="1" xr3:uid="{BF42FBFC-D6BE-49EF-9976-44779ECDE1EB}" uniqueName="1" name="Region" queryTableFieldId="1" dataDxfId="29"/>
    <tableColumn id="2" xr3:uid="{C012A8E4-733A-4F5D-9294-14FFE8DD426C}" uniqueName="2" name="Month" queryTableFieldId="2" dataDxfId="28"/>
    <tableColumn id="3" xr3:uid="{60FC27BB-966C-4994-A8D5-6497B204EE56}" uniqueName="3" name="Target_Revenue" queryTableFieldId="3"/>
    <tableColumn id="4" xr3:uid="{5938BF85-2EA0-4EDE-9D02-4DD428E5FBDE}" uniqueName="4" name="Category" queryTableFieldId="4" dataDxf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D01765-7997-4480-8078-3C2C3D423383}" name="Table3" displayName="Table3" ref="A1:F6" totalsRowShown="0">
  <autoFilter ref="A1:F6" xr:uid="{CDD01765-7997-4480-8078-3C2C3D423383}"/>
  <tableColumns count="6">
    <tableColumn id="1" xr3:uid="{39F30B20-A161-45EA-BDB2-749F49FF50E8}" name="Region"/>
    <tableColumn id="2" xr3:uid="{59D28C02-1BE6-4EFE-9B10-25F45E310E65}" name="Year"/>
    <tableColumn id="3" xr3:uid="{E511BFBC-4684-473C-9D86-368B9CE69711}" name="Total Revenue (YTD)"/>
    <tableColumn id="4" xr3:uid="{3AAC45A1-F3F5-495D-A090-2B49DB470681}" name="Total Profit (YTD)"/>
    <tableColumn id="5" xr3:uid="{7BCAB061-CC23-4E3B-BE53-0D58B24173AE}" name="Avg Profit Margin"/>
    <tableColumn id="6" xr3:uid="{56E8CFE5-D69F-4028-A0DB-3AD1ED54FB70}" name="No of Transaction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8305AD-C178-465B-B0AB-9D58961D5108}" name="Sales_Data" displayName="Sales_Data" ref="A1:V26" tableType="queryTable" totalsRowShown="0">
  <autoFilter ref="A1:V26" xr:uid="{3E8305AD-C178-465B-B0AB-9D58961D5108}"/>
  <tableColumns count="22">
    <tableColumn id="1" xr3:uid="{330601D2-E9B4-4B64-BD31-54E7992A6CCF}" uniqueName="1" name="Date" queryTableFieldId="1" dataDxfId="21"/>
    <tableColumn id="2" xr3:uid="{C57F35D1-7376-42CD-ACFB-AF07B047F011}" uniqueName="2" name="Region" queryTableFieldId="2" dataDxfId="20"/>
    <tableColumn id="3" xr3:uid="{D2AEFF44-A919-4328-8FF1-A1BB232D0741}" uniqueName="3" name="Product_Category" queryTableFieldId="3" dataDxfId="19"/>
    <tableColumn id="4" xr3:uid="{06878449-FCFF-4F55-A7A6-BF72A5B77514}" uniqueName="4" name="Product" queryTableFieldId="4" dataDxfId="18"/>
    <tableColumn id="5" xr3:uid="{D12A5FBB-70B4-4512-A714-908A5CC6AD69}" uniqueName="5" name="Sales_Rep" queryTableFieldId="5" dataDxfId="17"/>
    <tableColumn id="6" xr3:uid="{6D8496C0-2F5F-4AC8-A73C-B28BE921DD7A}" uniqueName="6" name="Units_Sold" queryTableFieldId="6"/>
    <tableColumn id="7" xr3:uid="{C1DF3DC5-421B-4CB9-A08D-F98838403060}" uniqueName="7" name="Unit_Price" queryTableFieldId="7"/>
    <tableColumn id="8" xr3:uid="{18B30389-3879-433B-9234-0C805A7F1243}" uniqueName="8" name="Total_Revenue" queryTableFieldId="8"/>
    <tableColumn id="9" xr3:uid="{B2A806CF-6D2F-4855-92D1-6DEC854C530C}" uniqueName="9" name="Cost_Per_Unit" queryTableFieldId="9"/>
    <tableColumn id="10" xr3:uid="{4A004606-C86E-4A99-8503-D4EE8A5AEDBF}" uniqueName="10" name="Profit" queryTableFieldId="10"/>
    <tableColumn id="11" xr3:uid="{64B121C0-9F91-495D-9DF1-CF27086F45D4}" uniqueName="11" name="Month" queryTableFieldId="11"/>
    <tableColumn id="12" xr3:uid="{AFF20D19-1C6D-466B-B9E4-48E8F35646A1}" uniqueName="12" name="Year" queryTableFieldId="12"/>
    <tableColumn id="23" xr3:uid="{B07B850E-4820-4DC6-92AF-D901F30060BA}" uniqueName="23" name="Quarter" queryTableFieldId="23" dataDxfId="16">
      <calculatedColumnFormula>"Q"&amp;ROUNDUP(MONTH(Sales_Data[[#This Row],[Date]])/3,0)</calculatedColumnFormula>
    </tableColumn>
    <tableColumn id="13" xr3:uid="{6BAD305B-8BF8-45BC-802A-CCF5747AD576}" uniqueName="13" name="ProfitMargin" queryTableFieldId="13"/>
    <tableColumn id="14" xr3:uid="{259964FD-0786-4DFB-BAEF-EEC3F8603A8C}" uniqueName="14" name="Sales_Rep_Info.Commission_Rate" queryTableFieldId="14"/>
    <tableColumn id="15" xr3:uid="{C0DCA1D4-102A-401D-ACD2-1759BE800F8A}" uniqueName="15" name="Commission-Amount" queryTableFieldId="15"/>
    <tableColumn id="16" xr3:uid="{BBA9A193-7B49-468A-B254-7D007971A6CF}" uniqueName="16" name="Totalrevenuebyregionandmonth" queryTableFieldId="16" dataDxfId="15">
      <calculatedColumnFormula>SUMIFS($H:$H, $B:$B, B2, $K:$K, K2)</calculatedColumnFormula>
    </tableColumn>
    <tableColumn id="21" xr3:uid="{5B8C757F-0706-48C4-95A7-39B9760DA03F}" uniqueName="21" name="Totalprofitbyproductcategoryandquarter" queryTableFieldId="21" dataDxfId="14">
      <calculatedColumnFormula>SUMIFS($J:$J, $C:$C, C2, $M:$M,M2)</calculatedColumnFormula>
    </tableColumn>
    <tableColumn id="25" xr3:uid="{E02D32C0-2B40-4D2D-888B-228704C8A0E6}" uniqueName="25" name="Commission_Amount" queryTableFieldId="32" dataDxfId="13">
      <calculatedColumnFormula xml:space="preserve"> Sales_Data[[#This Row],[Total_Revenue]] * Sales_Data[[#This Row],[Sales_Rep_Info.Commission_Rate]]</calculatedColumnFormula>
    </tableColumn>
    <tableColumn id="28" xr3:uid="{933462C9-4271-465D-87C6-33608E4C34AE}" uniqueName="28" name="Target_Revenue" queryTableFieldId="35" dataDxfId="12">
      <calculatedColumnFormula>INDEX(Sales_Targets!$C:$C,MATCH(Sales_Data[[#This Row],[Product_Category]],Sales_Targets!$D:$D,0),MATCH(Sales_Data[[#Headers],[Target_Revenue]],Sales_Targets[[#Headers],[Target_Revenue]],0))</calculatedColumnFormula>
    </tableColumn>
    <tableColumn id="17" xr3:uid="{37471E22-D945-4994-8237-9797D42EAD7C}" uniqueName="17" name="Sales_CAtagory" queryTableFieldId="37" dataDxfId="11">
      <calculatedColumnFormula array="1">_xlfn.IFS(Sales_Data[[#This Row],[Total_Revenue]]&gt;5000, "High",Sales_Data[[#This Row],[Total_Revenue]]&gt;=1000, "Medium", Sales_Data[[#This Row],[Total_Revenue]]&lt;1000, "Low")</calculatedColumnFormula>
    </tableColumn>
    <tableColumn id="18" xr3:uid="{A57183A1-D290-4793-8CCE-5E4DB9D79B7A}" uniqueName="18" name="Flag/Thresold" queryTableFieldId="38" dataDxfId="10">
      <calculatedColumnFormula>IF(Sales_Data[[#This Row],[Target_Revenue]]/Sales_Data[[#This Row],[Total_Revenue]]&gt;0.8, "Flag", "Thresold")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DBEA-2B88-4608-976F-9912AE250106}">
  <dimension ref="A1:E5"/>
  <sheetViews>
    <sheetView workbookViewId="0">
      <pane ySplit="1" topLeftCell="A2" activePane="bottomLeft" state="frozen"/>
      <selection pane="bottomLeft" activeCell="B2" sqref="B2"/>
    </sheetView>
  </sheetViews>
  <sheetFormatPr defaultRowHeight="15" x14ac:dyDescent="0.25"/>
  <cols>
    <col min="1" max="1" width="13.85546875" bestFit="1" customWidth="1"/>
    <col min="2" max="2" width="10.42578125" bestFit="1" customWidth="1"/>
    <col min="3" max="3" width="15" customWidth="1"/>
    <col min="4" max="4" width="20.42578125" bestFit="1" customWidth="1"/>
    <col min="5" max="5" width="18.42578125" bestFit="1" customWidth="1"/>
  </cols>
  <sheetData>
    <row r="1" spans="1:5" x14ac:dyDescent="0.25">
      <c r="A1" t="s">
        <v>0</v>
      </c>
      <c r="B1" t="s">
        <v>1</v>
      </c>
      <c r="C1" t="s">
        <v>59</v>
      </c>
      <c r="D1" t="s">
        <v>18</v>
      </c>
      <c r="E1" t="s">
        <v>17</v>
      </c>
    </row>
    <row r="2" spans="1:5" x14ac:dyDescent="0.25">
      <c r="A2" s="2" t="s">
        <v>34</v>
      </c>
      <c r="B2" s="2" t="s">
        <v>23</v>
      </c>
      <c r="C2" s="1">
        <v>44635</v>
      </c>
      <c r="D2">
        <v>0.08</v>
      </c>
      <c r="E2">
        <v>1428</v>
      </c>
    </row>
    <row r="3" spans="1:5" x14ac:dyDescent="0.25">
      <c r="A3" s="2" t="s">
        <v>36</v>
      </c>
      <c r="B3" s="2" t="s">
        <v>27</v>
      </c>
      <c r="C3" s="1">
        <v>44397</v>
      </c>
      <c r="D3">
        <v>0.09</v>
      </c>
      <c r="E3">
        <v>1666</v>
      </c>
    </row>
    <row r="4" spans="1:5" x14ac:dyDescent="0.25">
      <c r="A4" s="2" t="s">
        <v>38</v>
      </c>
      <c r="B4" s="2" t="s">
        <v>20</v>
      </c>
      <c r="C4" s="1">
        <v>44936</v>
      </c>
      <c r="D4">
        <v>7.0000000000000007E-2</v>
      </c>
      <c r="E4">
        <v>1127</v>
      </c>
    </row>
    <row r="5" spans="1:5" x14ac:dyDescent="0.25">
      <c r="A5" s="2" t="s">
        <v>40</v>
      </c>
      <c r="B5" s="2" t="s">
        <v>28</v>
      </c>
      <c r="C5" s="1">
        <v>44870</v>
      </c>
      <c r="D5">
        <v>0.08</v>
      </c>
      <c r="E5">
        <v>1193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807E-FF04-44B8-B5D9-17A7B5DCFBB1}">
  <dimension ref="A1:D19"/>
  <sheetViews>
    <sheetView workbookViewId="0">
      <pane ySplit="1" topLeftCell="A32" activePane="bottomLeft" state="frozen"/>
      <selection pane="bottomLeft"/>
    </sheetView>
  </sheetViews>
  <sheetFormatPr defaultRowHeight="15" x14ac:dyDescent="0.25"/>
  <cols>
    <col min="1" max="1" width="10.7109375" bestFit="1" customWidth="1"/>
    <col min="2" max="2" width="15.5703125" bestFit="1" customWidth="1"/>
    <col min="3" max="3" width="21.140625" bestFit="1" customWidth="1"/>
    <col min="4" max="4" width="10.7109375" bestFit="1" customWidth="1"/>
  </cols>
  <sheetData>
    <row r="1" spans="1:4" x14ac:dyDescent="0.25">
      <c r="A1" t="s">
        <v>10</v>
      </c>
      <c r="B1" t="s">
        <v>47</v>
      </c>
      <c r="C1" t="s">
        <v>48</v>
      </c>
      <c r="D1" t="s">
        <v>49</v>
      </c>
    </row>
    <row r="2" spans="1:4" x14ac:dyDescent="0.25">
      <c r="A2" s="2" t="s">
        <v>13</v>
      </c>
      <c r="B2" s="2" t="s">
        <v>50</v>
      </c>
      <c r="C2" s="2" t="s">
        <v>51</v>
      </c>
      <c r="D2">
        <v>8500</v>
      </c>
    </row>
    <row r="3" spans="1:4" x14ac:dyDescent="0.25">
      <c r="A3" s="2" t="s">
        <v>13</v>
      </c>
      <c r="B3" s="2" t="s">
        <v>50</v>
      </c>
      <c r="C3" s="2" t="s">
        <v>52</v>
      </c>
      <c r="D3">
        <v>4200</v>
      </c>
    </row>
    <row r="4" spans="1:4" x14ac:dyDescent="0.25">
      <c r="A4" s="2" t="s">
        <v>13</v>
      </c>
      <c r="B4" s="2" t="s">
        <v>53</v>
      </c>
      <c r="C4" s="2" t="s">
        <v>54</v>
      </c>
      <c r="D4">
        <v>12000</v>
      </c>
    </row>
    <row r="5" spans="1:4" x14ac:dyDescent="0.25">
      <c r="A5" s="2" t="s">
        <v>13</v>
      </c>
      <c r="B5" s="2" t="s">
        <v>53</v>
      </c>
      <c r="C5" s="2" t="s">
        <v>55</v>
      </c>
      <c r="D5">
        <v>2800</v>
      </c>
    </row>
    <row r="6" spans="1:4" x14ac:dyDescent="0.25">
      <c r="A6" s="2" t="s">
        <v>13</v>
      </c>
      <c r="B6" s="2" t="s">
        <v>56</v>
      </c>
      <c r="C6" s="2" t="s">
        <v>57</v>
      </c>
      <c r="D6">
        <v>45000</v>
      </c>
    </row>
    <row r="7" spans="1:4" x14ac:dyDescent="0.25">
      <c r="A7" s="2" t="s">
        <v>13</v>
      </c>
      <c r="B7" s="2" t="s">
        <v>56</v>
      </c>
      <c r="C7" s="2" t="s">
        <v>58</v>
      </c>
      <c r="D7">
        <v>3500</v>
      </c>
    </row>
    <row r="8" spans="1:4" x14ac:dyDescent="0.25">
      <c r="A8" s="2" t="s">
        <v>14</v>
      </c>
      <c r="B8" s="2" t="s">
        <v>50</v>
      </c>
      <c r="C8" s="2" t="s">
        <v>51</v>
      </c>
      <c r="D8">
        <v>9200</v>
      </c>
    </row>
    <row r="9" spans="1:4" x14ac:dyDescent="0.25">
      <c r="A9" s="2" t="s">
        <v>14</v>
      </c>
      <c r="B9" s="2" t="s">
        <v>50</v>
      </c>
      <c r="C9" s="2" t="s">
        <v>52</v>
      </c>
      <c r="D9">
        <v>3800</v>
      </c>
    </row>
    <row r="10" spans="1:4" x14ac:dyDescent="0.25">
      <c r="A10" s="2" t="s">
        <v>14</v>
      </c>
      <c r="B10" s="2" t="s">
        <v>53</v>
      </c>
      <c r="C10" s="2" t="s">
        <v>54</v>
      </c>
      <c r="D10">
        <v>12000</v>
      </c>
    </row>
    <row r="11" spans="1:4" x14ac:dyDescent="0.25">
      <c r="A11" s="2" t="s">
        <v>14</v>
      </c>
      <c r="B11" s="2" t="s">
        <v>53</v>
      </c>
      <c r="C11" s="2" t="s">
        <v>55</v>
      </c>
      <c r="D11">
        <v>2600</v>
      </c>
    </row>
    <row r="12" spans="1:4" x14ac:dyDescent="0.25">
      <c r="A12" s="2" t="s">
        <v>14</v>
      </c>
      <c r="B12" s="2" t="s">
        <v>56</v>
      </c>
      <c r="C12" s="2" t="s">
        <v>57</v>
      </c>
      <c r="D12">
        <v>45000</v>
      </c>
    </row>
    <row r="13" spans="1:4" x14ac:dyDescent="0.25">
      <c r="A13" s="2" t="s">
        <v>14</v>
      </c>
      <c r="B13" s="2" t="s">
        <v>56</v>
      </c>
      <c r="C13" s="2" t="s">
        <v>58</v>
      </c>
      <c r="D13">
        <v>4200</v>
      </c>
    </row>
    <row r="14" spans="1:4" x14ac:dyDescent="0.25">
      <c r="A14" s="2" t="s">
        <v>15</v>
      </c>
      <c r="B14" s="2" t="s">
        <v>50</v>
      </c>
      <c r="C14" s="2" t="s">
        <v>51</v>
      </c>
      <c r="D14">
        <v>10500</v>
      </c>
    </row>
    <row r="15" spans="1:4" x14ac:dyDescent="0.25">
      <c r="A15" s="2" t="s">
        <v>15</v>
      </c>
      <c r="B15" s="2" t="s">
        <v>50</v>
      </c>
      <c r="C15" s="2" t="s">
        <v>52</v>
      </c>
      <c r="D15">
        <v>5100</v>
      </c>
    </row>
    <row r="16" spans="1:4" x14ac:dyDescent="0.25">
      <c r="A16" s="2" t="s">
        <v>15</v>
      </c>
      <c r="B16" s="2" t="s">
        <v>53</v>
      </c>
      <c r="C16" s="2" t="s">
        <v>54</v>
      </c>
      <c r="D16">
        <v>12000</v>
      </c>
    </row>
    <row r="17" spans="1:4" x14ac:dyDescent="0.25">
      <c r="A17" s="2" t="s">
        <v>15</v>
      </c>
      <c r="B17" s="2" t="s">
        <v>53</v>
      </c>
      <c r="C17" s="2" t="s">
        <v>55</v>
      </c>
      <c r="D17">
        <v>2900</v>
      </c>
    </row>
    <row r="18" spans="1:4" x14ac:dyDescent="0.25">
      <c r="A18" s="2" t="s">
        <v>15</v>
      </c>
      <c r="B18" s="2" t="s">
        <v>56</v>
      </c>
      <c r="C18" s="2" t="s">
        <v>57</v>
      </c>
      <c r="D18">
        <v>47000</v>
      </c>
    </row>
    <row r="19" spans="1:4" x14ac:dyDescent="0.25">
      <c r="A19" s="2" t="s">
        <v>15</v>
      </c>
      <c r="B19" s="2" t="s">
        <v>56</v>
      </c>
      <c r="C19" s="2" t="s">
        <v>58</v>
      </c>
      <c r="D19">
        <v>3800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5F82-3749-4E1B-AD2A-EE661AA91A87}">
  <dimension ref="A1:D37"/>
  <sheetViews>
    <sheetView zoomScale="98" zoomScaleNormal="98" workbookViewId="0">
      <pane ySplit="1" topLeftCell="A18" activePane="bottomLeft" state="frozen"/>
      <selection pane="bottomLeft" activeCell="T2" sqref="T2"/>
    </sheetView>
  </sheetViews>
  <sheetFormatPr defaultRowHeight="15" x14ac:dyDescent="0.25"/>
  <cols>
    <col min="1" max="1" width="10" bestFit="1" customWidth="1"/>
    <col min="2" max="2" width="11.5703125" bestFit="1" customWidth="1"/>
    <col min="3" max="3" width="18.7109375" bestFit="1" customWidth="1"/>
    <col min="4" max="4" width="14.7109375" bestFit="1" customWidth="1"/>
  </cols>
  <sheetData>
    <row r="1" spans="1:4" x14ac:dyDescent="0.25">
      <c r="A1" t="s">
        <v>1</v>
      </c>
      <c r="B1" t="s">
        <v>10</v>
      </c>
      <c r="C1" t="s">
        <v>21</v>
      </c>
      <c r="D1" t="s">
        <v>22</v>
      </c>
    </row>
    <row r="2" spans="1:4" x14ac:dyDescent="0.25">
      <c r="A2" s="2" t="s">
        <v>23</v>
      </c>
      <c r="B2" s="2" t="s">
        <v>13</v>
      </c>
      <c r="C2">
        <v>15000</v>
      </c>
      <c r="D2" s="2" t="s">
        <v>24</v>
      </c>
    </row>
    <row r="3" spans="1:4" x14ac:dyDescent="0.25">
      <c r="A3" s="2" t="s">
        <v>23</v>
      </c>
      <c r="B3" s="2" t="s">
        <v>13</v>
      </c>
      <c r="C3">
        <v>8000</v>
      </c>
      <c r="D3" s="2" t="s">
        <v>25</v>
      </c>
    </row>
    <row r="4" spans="1:4" x14ac:dyDescent="0.25">
      <c r="A4" s="2" t="s">
        <v>23</v>
      </c>
      <c r="B4" s="2" t="s">
        <v>13</v>
      </c>
      <c r="C4">
        <v>3000</v>
      </c>
      <c r="D4" s="2" t="s">
        <v>26</v>
      </c>
    </row>
    <row r="5" spans="1:4" x14ac:dyDescent="0.25">
      <c r="A5" s="2" t="s">
        <v>27</v>
      </c>
      <c r="B5" s="2" t="s">
        <v>13</v>
      </c>
      <c r="C5">
        <v>12000</v>
      </c>
      <c r="D5" s="2" t="s">
        <v>24</v>
      </c>
    </row>
    <row r="6" spans="1:4" x14ac:dyDescent="0.25">
      <c r="A6" s="2" t="s">
        <v>27</v>
      </c>
      <c r="B6" s="2" t="s">
        <v>13</v>
      </c>
      <c r="C6">
        <v>6000</v>
      </c>
      <c r="D6" s="2" t="s">
        <v>25</v>
      </c>
    </row>
    <row r="7" spans="1:4" x14ac:dyDescent="0.25">
      <c r="A7" s="2" t="s">
        <v>27</v>
      </c>
      <c r="B7" s="2" t="s">
        <v>13</v>
      </c>
      <c r="C7">
        <v>2500</v>
      </c>
      <c r="D7" s="2" t="s">
        <v>26</v>
      </c>
    </row>
    <row r="8" spans="1:4" x14ac:dyDescent="0.25">
      <c r="A8" s="2" t="s">
        <v>20</v>
      </c>
      <c r="B8" s="2" t="s">
        <v>13</v>
      </c>
      <c r="C8">
        <v>14000</v>
      </c>
      <c r="D8" s="2" t="s">
        <v>24</v>
      </c>
    </row>
    <row r="9" spans="1:4" x14ac:dyDescent="0.25">
      <c r="A9" s="2" t="s">
        <v>20</v>
      </c>
      <c r="B9" s="2" t="s">
        <v>13</v>
      </c>
      <c r="C9">
        <v>7000</v>
      </c>
      <c r="D9" s="2" t="s">
        <v>25</v>
      </c>
    </row>
    <row r="10" spans="1:4" x14ac:dyDescent="0.25">
      <c r="A10" s="2" t="s">
        <v>20</v>
      </c>
      <c r="B10" s="2" t="s">
        <v>13</v>
      </c>
      <c r="C10">
        <v>2800</v>
      </c>
      <c r="D10" s="2" t="s">
        <v>26</v>
      </c>
    </row>
    <row r="11" spans="1:4" x14ac:dyDescent="0.25">
      <c r="A11" s="2" t="s">
        <v>28</v>
      </c>
      <c r="B11" s="2" t="s">
        <v>13</v>
      </c>
      <c r="C11">
        <v>13000</v>
      </c>
      <c r="D11" s="2" t="s">
        <v>24</v>
      </c>
    </row>
    <row r="12" spans="1:4" x14ac:dyDescent="0.25">
      <c r="A12" s="2" t="s">
        <v>28</v>
      </c>
      <c r="B12" s="2" t="s">
        <v>13</v>
      </c>
      <c r="C12">
        <v>6500</v>
      </c>
      <c r="D12" s="2" t="s">
        <v>25</v>
      </c>
    </row>
    <row r="13" spans="1:4" x14ac:dyDescent="0.25">
      <c r="A13" s="2" t="s">
        <v>28</v>
      </c>
      <c r="B13" s="2" t="s">
        <v>13</v>
      </c>
      <c r="C13">
        <v>2600</v>
      </c>
      <c r="D13" s="2" t="s">
        <v>26</v>
      </c>
    </row>
    <row r="14" spans="1:4" x14ac:dyDescent="0.25">
      <c r="A14" s="2" t="s">
        <v>23</v>
      </c>
      <c r="B14" s="2" t="s">
        <v>14</v>
      </c>
      <c r="C14">
        <v>16500</v>
      </c>
      <c r="D14" s="2" t="s">
        <v>24</v>
      </c>
    </row>
    <row r="15" spans="1:4" x14ac:dyDescent="0.25">
      <c r="A15" s="2" t="s">
        <v>23</v>
      </c>
      <c r="B15" s="2" t="s">
        <v>14</v>
      </c>
      <c r="C15">
        <v>8800</v>
      </c>
      <c r="D15" s="2" t="s">
        <v>25</v>
      </c>
    </row>
    <row r="16" spans="1:4" x14ac:dyDescent="0.25">
      <c r="A16" s="2" t="s">
        <v>23</v>
      </c>
      <c r="B16" s="2" t="s">
        <v>14</v>
      </c>
      <c r="C16">
        <v>3300</v>
      </c>
      <c r="D16" s="2" t="s">
        <v>26</v>
      </c>
    </row>
    <row r="17" spans="1:4" x14ac:dyDescent="0.25">
      <c r="A17" s="2" t="s">
        <v>27</v>
      </c>
      <c r="B17" s="2" t="s">
        <v>14</v>
      </c>
      <c r="C17">
        <v>13200</v>
      </c>
      <c r="D17" s="2" t="s">
        <v>24</v>
      </c>
    </row>
    <row r="18" spans="1:4" x14ac:dyDescent="0.25">
      <c r="A18" s="2" t="s">
        <v>27</v>
      </c>
      <c r="B18" s="2" t="s">
        <v>14</v>
      </c>
      <c r="C18">
        <v>6600</v>
      </c>
      <c r="D18" s="2" t="s">
        <v>25</v>
      </c>
    </row>
    <row r="19" spans="1:4" x14ac:dyDescent="0.25">
      <c r="A19" s="2" t="s">
        <v>27</v>
      </c>
      <c r="B19" s="2" t="s">
        <v>14</v>
      </c>
      <c r="C19">
        <v>2750</v>
      </c>
      <c r="D19" s="2" t="s">
        <v>26</v>
      </c>
    </row>
    <row r="20" spans="1:4" x14ac:dyDescent="0.25">
      <c r="A20" s="2" t="s">
        <v>20</v>
      </c>
      <c r="B20" s="2" t="s">
        <v>14</v>
      </c>
      <c r="C20">
        <v>15400</v>
      </c>
      <c r="D20" s="2" t="s">
        <v>24</v>
      </c>
    </row>
    <row r="21" spans="1:4" x14ac:dyDescent="0.25">
      <c r="A21" s="2" t="s">
        <v>20</v>
      </c>
      <c r="B21" s="2" t="s">
        <v>14</v>
      </c>
      <c r="C21">
        <v>7700</v>
      </c>
      <c r="D21" s="2" t="s">
        <v>25</v>
      </c>
    </row>
    <row r="22" spans="1:4" x14ac:dyDescent="0.25">
      <c r="A22" s="2" t="s">
        <v>20</v>
      </c>
      <c r="B22" s="2" t="s">
        <v>14</v>
      </c>
      <c r="C22">
        <v>3080</v>
      </c>
      <c r="D22" s="2" t="s">
        <v>26</v>
      </c>
    </row>
    <row r="23" spans="1:4" x14ac:dyDescent="0.25">
      <c r="A23" s="2" t="s">
        <v>28</v>
      </c>
      <c r="B23" s="2" t="s">
        <v>14</v>
      </c>
      <c r="C23">
        <v>14300</v>
      </c>
      <c r="D23" s="2" t="s">
        <v>24</v>
      </c>
    </row>
    <row r="24" spans="1:4" x14ac:dyDescent="0.25">
      <c r="A24" s="2" t="s">
        <v>28</v>
      </c>
      <c r="B24" s="2" t="s">
        <v>14</v>
      </c>
      <c r="C24">
        <v>7150</v>
      </c>
      <c r="D24" s="2" t="s">
        <v>25</v>
      </c>
    </row>
    <row r="25" spans="1:4" x14ac:dyDescent="0.25">
      <c r="A25" s="2" t="s">
        <v>28</v>
      </c>
      <c r="B25" s="2" t="s">
        <v>14</v>
      </c>
      <c r="C25">
        <v>2860</v>
      </c>
      <c r="D25" s="2" t="s">
        <v>26</v>
      </c>
    </row>
    <row r="26" spans="1:4" x14ac:dyDescent="0.25">
      <c r="A26" s="2" t="s">
        <v>23</v>
      </c>
      <c r="B26" s="2" t="s">
        <v>15</v>
      </c>
      <c r="C26">
        <v>18150</v>
      </c>
      <c r="D26" s="2" t="s">
        <v>24</v>
      </c>
    </row>
    <row r="27" spans="1:4" x14ac:dyDescent="0.25">
      <c r="A27" s="2" t="s">
        <v>23</v>
      </c>
      <c r="B27" s="2" t="s">
        <v>15</v>
      </c>
      <c r="C27">
        <v>9680</v>
      </c>
      <c r="D27" s="2" t="s">
        <v>25</v>
      </c>
    </row>
    <row r="28" spans="1:4" x14ac:dyDescent="0.25">
      <c r="A28" s="2" t="s">
        <v>23</v>
      </c>
      <c r="B28" s="2" t="s">
        <v>15</v>
      </c>
      <c r="C28">
        <v>3630</v>
      </c>
      <c r="D28" s="2" t="s">
        <v>26</v>
      </c>
    </row>
    <row r="29" spans="1:4" x14ac:dyDescent="0.25">
      <c r="A29" s="2" t="s">
        <v>27</v>
      </c>
      <c r="B29" s="2" t="s">
        <v>15</v>
      </c>
      <c r="C29">
        <v>14520</v>
      </c>
      <c r="D29" s="2" t="s">
        <v>24</v>
      </c>
    </row>
    <row r="30" spans="1:4" x14ac:dyDescent="0.25">
      <c r="A30" s="2" t="s">
        <v>27</v>
      </c>
      <c r="B30" s="2" t="s">
        <v>15</v>
      </c>
      <c r="C30">
        <v>7260</v>
      </c>
      <c r="D30" s="2" t="s">
        <v>25</v>
      </c>
    </row>
    <row r="31" spans="1:4" x14ac:dyDescent="0.25">
      <c r="A31" s="2" t="s">
        <v>27</v>
      </c>
      <c r="B31" s="2" t="s">
        <v>15</v>
      </c>
      <c r="C31">
        <v>3025</v>
      </c>
      <c r="D31" s="2" t="s">
        <v>26</v>
      </c>
    </row>
    <row r="32" spans="1:4" x14ac:dyDescent="0.25">
      <c r="A32" s="2" t="s">
        <v>20</v>
      </c>
      <c r="B32" s="2" t="s">
        <v>15</v>
      </c>
      <c r="C32">
        <v>16940</v>
      </c>
      <c r="D32" s="2" t="s">
        <v>24</v>
      </c>
    </row>
    <row r="33" spans="1:4" x14ac:dyDescent="0.25">
      <c r="A33" s="2" t="s">
        <v>20</v>
      </c>
      <c r="B33" s="2" t="s">
        <v>15</v>
      </c>
      <c r="C33">
        <v>8470</v>
      </c>
      <c r="D33" s="2" t="s">
        <v>25</v>
      </c>
    </row>
    <row r="34" spans="1:4" x14ac:dyDescent="0.25">
      <c r="A34" s="2" t="s">
        <v>20</v>
      </c>
      <c r="B34" s="2" t="s">
        <v>15</v>
      </c>
      <c r="C34">
        <v>3388</v>
      </c>
      <c r="D34" s="2" t="s">
        <v>26</v>
      </c>
    </row>
    <row r="35" spans="1:4" x14ac:dyDescent="0.25">
      <c r="A35" s="2" t="s">
        <v>28</v>
      </c>
      <c r="B35" s="2" t="s">
        <v>15</v>
      </c>
      <c r="C35">
        <v>15730</v>
      </c>
      <c r="D35" s="2" t="s">
        <v>24</v>
      </c>
    </row>
    <row r="36" spans="1:4" x14ac:dyDescent="0.25">
      <c r="A36" s="2" t="s">
        <v>28</v>
      </c>
      <c r="B36" s="2" t="s">
        <v>15</v>
      </c>
      <c r="C36">
        <v>7865</v>
      </c>
      <c r="D36" s="2" t="s">
        <v>25</v>
      </c>
    </row>
    <row r="37" spans="1:4" x14ac:dyDescent="0.25">
      <c r="A37" s="2" t="s">
        <v>28</v>
      </c>
      <c r="B37" s="2" t="s">
        <v>15</v>
      </c>
      <c r="D37" s="2"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3FD5-F1A2-48A5-BEC8-EC5BE7AF6BA3}">
  <dimension ref="A3:M22"/>
  <sheetViews>
    <sheetView topLeftCell="F1" zoomScale="98" zoomScaleNormal="98" workbookViewId="0">
      <selection activeCell="H17" sqref="H17"/>
    </sheetView>
  </sheetViews>
  <sheetFormatPr defaultRowHeight="15" x14ac:dyDescent="0.25"/>
  <cols>
    <col min="1" max="1" width="17.5703125" bestFit="1" customWidth="1"/>
    <col min="2" max="2" width="21.42578125" bestFit="1" customWidth="1"/>
    <col min="3" max="3" width="19" bestFit="1" customWidth="1"/>
    <col min="4" max="4" width="27.140625" bestFit="1" customWidth="1"/>
    <col min="5" max="5" width="21.42578125" bestFit="1" customWidth="1"/>
    <col min="6" max="6" width="19" bestFit="1" customWidth="1"/>
    <col min="7" max="7" width="27.140625" bestFit="1" customWidth="1"/>
    <col min="8" max="8" width="21.42578125" bestFit="1" customWidth="1"/>
    <col min="9" max="9" width="19" bestFit="1" customWidth="1"/>
    <col min="10" max="10" width="27.140625" bestFit="1" customWidth="1"/>
    <col min="11" max="11" width="26.42578125" bestFit="1" customWidth="1"/>
    <col min="12" max="12" width="24" bestFit="1" customWidth="1"/>
    <col min="13" max="13" width="32.140625" bestFit="1" customWidth="1"/>
  </cols>
  <sheetData>
    <row r="3" spans="1:13" x14ac:dyDescent="0.25">
      <c r="B3" s="5" t="s">
        <v>69</v>
      </c>
    </row>
    <row r="4" spans="1:13" x14ac:dyDescent="0.25">
      <c r="B4" t="s">
        <v>13</v>
      </c>
      <c r="E4" t="s">
        <v>14</v>
      </c>
      <c r="H4" t="s">
        <v>15</v>
      </c>
      <c r="K4" t="s">
        <v>71</v>
      </c>
      <c r="L4" t="s">
        <v>72</v>
      </c>
      <c r="M4" t="s">
        <v>74</v>
      </c>
    </row>
    <row r="5" spans="1:13" x14ac:dyDescent="0.25">
      <c r="A5" s="5" t="s">
        <v>67</v>
      </c>
      <c r="B5" t="s">
        <v>70</v>
      </c>
      <c r="C5" t="s">
        <v>73</v>
      </c>
      <c r="D5" t="s">
        <v>75</v>
      </c>
      <c r="E5" t="s">
        <v>70</v>
      </c>
      <c r="F5" t="s">
        <v>73</v>
      </c>
      <c r="G5" t="s">
        <v>75</v>
      </c>
      <c r="H5" t="s">
        <v>70</v>
      </c>
      <c r="I5" t="s">
        <v>73</v>
      </c>
      <c r="J5" t="s">
        <v>75</v>
      </c>
    </row>
    <row r="6" spans="1:13" x14ac:dyDescent="0.25">
      <c r="A6" s="6" t="s">
        <v>20</v>
      </c>
      <c r="B6" s="2">
        <v>4050</v>
      </c>
      <c r="C6" s="2">
        <v>89</v>
      </c>
      <c r="D6" s="8">
        <v>0.22500000000000001</v>
      </c>
      <c r="E6" s="2">
        <v>8300</v>
      </c>
      <c r="F6" s="2">
        <v>121</v>
      </c>
      <c r="G6" s="8">
        <v>0.21842105263157896</v>
      </c>
      <c r="H6" s="2">
        <v>1700</v>
      </c>
      <c r="I6" s="2">
        <v>51</v>
      </c>
      <c r="J6" s="8">
        <v>0.56666666666666665</v>
      </c>
      <c r="K6" s="2">
        <v>14050</v>
      </c>
      <c r="L6" s="2">
        <v>261</v>
      </c>
      <c r="M6" s="8">
        <v>0.23813559322033898</v>
      </c>
    </row>
    <row r="7" spans="1:13" x14ac:dyDescent="0.25">
      <c r="A7" s="7" t="s">
        <v>24</v>
      </c>
      <c r="B7" s="2">
        <v>2800</v>
      </c>
      <c r="C7" s="2">
        <v>37</v>
      </c>
      <c r="D7" s="8">
        <v>0.18666666666666668</v>
      </c>
      <c r="E7" s="2">
        <v>5600</v>
      </c>
      <c r="F7" s="2">
        <v>74</v>
      </c>
      <c r="G7" s="8">
        <v>0.18666666666666668</v>
      </c>
      <c r="H7" s="2"/>
      <c r="I7" s="2"/>
      <c r="J7" s="8" t="e">
        <v>#DIV/0!</v>
      </c>
      <c r="K7" s="2">
        <v>8400</v>
      </c>
      <c r="L7" s="2">
        <v>111</v>
      </c>
      <c r="M7" s="8">
        <v>0.18666666666666668</v>
      </c>
    </row>
    <row r="8" spans="1:13" x14ac:dyDescent="0.25">
      <c r="A8" s="7" t="s">
        <v>25</v>
      </c>
      <c r="B8" s="2"/>
      <c r="C8" s="2"/>
      <c r="D8" s="8" t="e">
        <v>#DIV/0!</v>
      </c>
      <c r="E8" s="2">
        <v>2700</v>
      </c>
      <c r="F8" s="2">
        <v>47</v>
      </c>
      <c r="G8" s="8">
        <v>0.33750000000000002</v>
      </c>
      <c r="H8" s="2"/>
      <c r="I8" s="2"/>
      <c r="J8" s="8" t="e">
        <v>#DIV/0!</v>
      </c>
      <c r="K8" s="2">
        <v>2700</v>
      </c>
      <c r="L8" s="2">
        <v>47</v>
      </c>
      <c r="M8" s="8">
        <v>0.33750000000000002</v>
      </c>
    </row>
    <row r="9" spans="1:13" x14ac:dyDescent="0.25">
      <c r="A9" s="7" t="s">
        <v>26</v>
      </c>
      <c r="B9" s="2">
        <v>1250</v>
      </c>
      <c r="C9" s="2">
        <v>52</v>
      </c>
      <c r="D9" s="8">
        <v>0.41666666666666669</v>
      </c>
      <c r="E9" s="2"/>
      <c r="F9" s="2"/>
      <c r="G9" s="8" t="e">
        <v>#DIV/0!</v>
      </c>
      <c r="H9" s="2">
        <v>1700</v>
      </c>
      <c r="I9" s="2">
        <v>51</v>
      </c>
      <c r="J9" s="8">
        <v>0.56666666666666665</v>
      </c>
      <c r="K9" s="2">
        <v>2950</v>
      </c>
      <c r="L9" s="2">
        <v>103</v>
      </c>
      <c r="M9" s="8">
        <v>0.49166666666666664</v>
      </c>
    </row>
    <row r="10" spans="1:13" x14ac:dyDescent="0.25">
      <c r="A10" s="6" t="s">
        <v>23</v>
      </c>
      <c r="B10" s="2">
        <v>16560</v>
      </c>
      <c r="C10" s="2">
        <v>105</v>
      </c>
      <c r="D10" s="8">
        <v>0.4357894736842105</v>
      </c>
      <c r="E10" s="2">
        <v>1340</v>
      </c>
      <c r="F10" s="2">
        <v>96</v>
      </c>
      <c r="G10" s="8">
        <v>0.22333333333333333</v>
      </c>
      <c r="H10" s="2">
        <v>14040</v>
      </c>
      <c r="I10" s="2">
        <v>76</v>
      </c>
      <c r="J10" s="8">
        <v>0.61043478260869566</v>
      </c>
      <c r="K10" s="2">
        <v>31940</v>
      </c>
      <c r="L10" s="2">
        <v>277</v>
      </c>
      <c r="M10" s="8">
        <v>0.47671641791044778</v>
      </c>
    </row>
    <row r="11" spans="1:13" x14ac:dyDescent="0.25">
      <c r="A11" s="7" t="s">
        <v>24</v>
      </c>
      <c r="B11" s="2">
        <v>14400</v>
      </c>
      <c r="C11" s="2">
        <v>58</v>
      </c>
      <c r="D11" s="8">
        <v>0.48</v>
      </c>
      <c r="E11" s="2"/>
      <c r="F11" s="2"/>
      <c r="G11" s="8" t="e">
        <v>#DIV/0!</v>
      </c>
      <c r="H11" s="2">
        <v>10800</v>
      </c>
      <c r="I11" s="2">
        <v>29</v>
      </c>
      <c r="J11" s="8">
        <v>0.72</v>
      </c>
      <c r="K11" s="2">
        <v>25200</v>
      </c>
      <c r="L11" s="2">
        <v>87</v>
      </c>
      <c r="M11" s="8">
        <v>0.56000000000000005</v>
      </c>
    </row>
    <row r="12" spans="1:13" x14ac:dyDescent="0.25">
      <c r="A12" s="7" t="s">
        <v>25</v>
      </c>
      <c r="B12" s="2">
        <v>2160</v>
      </c>
      <c r="C12" s="2">
        <v>47</v>
      </c>
      <c r="D12" s="8">
        <v>0.27</v>
      </c>
      <c r="E12" s="2"/>
      <c r="F12" s="2"/>
      <c r="G12" s="8" t="e">
        <v>#DIV/0!</v>
      </c>
      <c r="H12" s="2">
        <v>3240</v>
      </c>
      <c r="I12" s="2">
        <v>47</v>
      </c>
      <c r="J12" s="8">
        <v>0.40500000000000003</v>
      </c>
      <c r="K12" s="2">
        <v>5400</v>
      </c>
      <c r="L12" s="2">
        <v>94</v>
      </c>
      <c r="M12" s="8">
        <v>0.33750000000000002</v>
      </c>
    </row>
    <row r="13" spans="1:13" x14ac:dyDescent="0.25">
      <c r="A13" s="7" t="s">
        <v>26</v>
      </c>
      <c r="B13" s="2"/>
      <c r="C13" s="2"/>
      <c r="D13" s="8" t="e">
        <v>#DIV/0!</v>
      </c>
      <c r="E13" s="2">
        <v>1340</v>
      </c>
      <c r="F13" s="2">
        <v>96</v>
      </c>
      <c r="G13" s="8">
        <v>0.22333333333333333</v>
      </c>
      <c r="H13" s="2"/>
      <c r="I13" s="2"/>
      <c r="J13" s="8" t="e">
        <v>#DIV/0!</v>
      </c>
      <c r="K13" s="2">
        <v>1340</v>
      </c>
      <c r="L13" s="2">
        <v>96</v>
      </c>
      <c r="M13" s="8">
        <v>0.22333333333333333</v>
      </c>
    </row>
    <row r="14" spans="1:13" x14ac:dyDescent="0.25">
      <c r="A14" s="6" t="s">
        <v>27</v>
      </c>
      <c r="B14" s="2">
        <v>5925</v>
      </c>
      <c r="C14" s="2">
        <v>120</v>
      </c>
      <c r="D14" s="8">
        <v>0.22788461538461538</v>
      </c>
      <c r="E14" s="2">
        <v>7280</v>
      </c>
      <c r="F14" s="2">
        <v>65</v>
      </c>
      <c r="G14" s="8">
        <v>0.3165217391304348</v>
      </c>
      <c r="H14" s="2">
        <v>3150</v>
      </c>
      <c r="I14" s="2">
        <v>38</v>
      </c>
      <c r="J14" s="8">
        <v>0.39374999999999999</v>
      </c>
      <c r="K14" s="2">
        <v>16355</v>
      </c>
      <c r="L14" s="2">
        <v>223</v>
      </c>
      <c r="M14" s="8">
        <v>0.28692982456140353</v>
      </c>
    </row>
    <row r="15" spans="1:13" x14ac:dyDescent="0.25">
      <c r="A15" s="7" t="s">
        <v>24</v>
      </c>
      <c r="B15" s="2">
        <v>3300</v>
      </c>
      <c r="C15" s="2">
        <v>31</v>
      </c>
      <c r="D15" s="8">
        <v>0.22</v>
      </c>
      <c r="E15" s="2">
        <v>4800</v>
      </c>
      <c r="F15" s="2">
        <v>29</v>
      </c>
      <c r="G15" s="8">
        <v>0.32</v>
      </c>
      <c r="H15" s="2"/>
      <c r="I15" s="2"/>
      <c r="J15" s="8" t="e">
        <v>#DIV/0!</v>
      </c>
      <c r="K15" s="2">
        <v>8100</v>
      </c>
      <c r="L15" s="2">
        <v>60</v>
      </c>
      <c r="M15" s="8">
        <v>0.27</v>
      </c>
    </row>
    <row r="16" spans="1:13" x14ac:dyDescent="0.25">
      <c r="A16" s="7" t="s">
        <v>25</v>
      </c>
      <c r="B16" s="2">
        <v>1350</v>
      </c>
      <c r="C16" s="2">
        <v>38</v>
      </c>
      <c r="D16" s="8">
        <v>0.16875000000000001</v>
      </c>
      <c r="E16" s="2">
        <v>2480</v>
      </c>
      <c r="F16" s="2">
        <v>36</v>
      </c>
      <c r="G16" s="8">
        <v>0.31</v>
      </c>
      <c r="H16" s="2">
        <v>3150</v>
      </c>
      <c r="I16" s="2">
        <v>38</v>
      </c>
      <c r="J16" s="8">
        <v>0.39374999999999999</v>
      </c>
      <c r="K16" s="2">
        <v>6980</v>
      </c>
      <c r="L16" s="2">
        <v>112</v>
      </c>
      <c r="M16" s="8">
        <v>0.29083333333333333</v>
      </c>
    </row>
    <row r="17" spans="1:13" x14ac:dyDescent="0.25">
      <c r="A17" s="7" t="s">
        <v>26</v>
      </c>
      <c r="B17" s="2">
        <v>1275</v>
      </c>
      <c r="C17" s="2">
        <v>51</v>
      </c>
      <c r="D17" s="8">
        <v>0.42499999999999999</v>
      </c>
      <c r="E17" s="2"/>
      <c r="F17" s="2"/>
      <c r="G17" s="8" t="e">
        <v>#DIV/0!</v>
      </c>
      <c r="H17" s="2"/>
      <c r="I17" s="2"/>
      <c r="J17" s="8" t="e">
        <v>#DIV/0!</v>
      </c>
      <c r="K17" s="2">
        <v>1275</v>
      </c>
      <c r="L17" s="2">
        <v>51</v>
      </c>
      <c r="M17" s="8">
        <v>0.42499999999999999</v>
      </c>
    </row>
    <row r="18" spans="1:13" x14ac:dyDescent="0.25">
      <c r="A18" s="6" t="s">
        <v>28</v>
      </c>
      <c r="B18" s="2">
        <v>2360</v>
      </c>
      <c r="C18" s="2">
        <v>72</v>
      </c>
      <c r="D18" s="8">
        <v>0.21454545454545454</v>
      </c>
      <c r="E18" s="2">
        <v>8150</v>
      </c>
      <c r="F18" s="2">
        <v>121</v>
      </c>
      <c r="G18" s="8">
        <v>0.31346153846153846</v>
      </c>
      <c r="H18" s="2">
        <v>2750</v>
      </c>
      <c r="I18" s="2">
        <v>31</v>
      </c>
      <c r="J18" s="8">
        <v>0.18333333333333332</v>
      </c>
      <c r="K18" s="2">
        <v>13260</v>
      </c>
      <c r="L18" s="2">
        <v>224</v>
      </c>
      <c r="M18" s="8">
        <v>0.255</v>
      </c>
    </row>
    <row r="19" spans="1:13" x14ac:dyDescent="0.25">
      <c r="A19" s="7" t="s">
        <v>24</v>
      </c>
      <c r="B19" s="2"/>
      <c r="C19" s="2"/>
      <c r="D19" s="8" t="e">
        <v>#DIV/0!</v>
      </c>
      <c r="E19" s="2">
        <v>4400</v>
      </c>
      <c r="F19" s="2">
        <v>31</v>
      </c>
      <c r="G19" s="8">
        <v>0.29333333333333333</v>
      </c>
      <c r="H19" s="2">
        <v>2750</v>
      </c>
      <c r="I19" s="2">
        <v>31</v>
      </c>
      <c r="J19" s="8">
        <v>0.18333333333333332</v>
      </c>
      <c r="K19" s="2">
        <v>7150</v>
      </c>
      <c r="L19" s="2">
        <v>62</v>
      </c>
      <c r="M19" s="8">
        <v>0.23833333333333334</v>
      </c>
    </row>
    <row r="20" spans="1:13" x14ac:dyDescent="0.25">
      <c r="A20" s="7" t="s">
        <v>25</v>
      </c>
      <c r="B20" s="2">
        <v>1240</v>
      </c>
      <c r="C20" s="2">
        <v>36</v>
      </c>
      <c r="D20" s="8">
        <v>0.155</v>
      </c>
      <c r="E20" s="2">
        <v>2250</v>
      </c>
      <c r="F20" s="2">
        <v>38</v>
      </c>
      <c r="G20" s="8">
        <v>0.28125</v>
      </c>
      <c r="H20" s="2"/>
      <c r="I20" s="2"/>
      <c r="J20" s="8" t="e">
        <v>#DIV/0!</v>
      </c>
      <c r="K20" s="2">
        <v>3490</v>
      </c>
      <c r="L20" s="2">
        <v>74</v>
      </c>
      <c r="M20" s="8">
        <v>0.21812500000000001</v>
      </c>
    </row>
    <row r="21" spans="1:13" x14ac:dyDescent="0.25">
      <c r="A21" s="7" t="s">
        <v>26</v>
      </c>
      <c r="B21" s="2">
        <v>1120</v>
      </c>
      <c r="C21" s="2">
        <v>36</v>
      </c>
      <c r="D21" s="8">
        <v>0.37333333333333335</v>
      </c>
      <c r="E21" s="2">
        <v>1500</v>
      </c>
      <c r="F21" s="2">
        <v>52</v>
      </c>
      <c r="G21" s="8">
        <v>0.5</v>
      </c>
      <c r="H21" s="2"/>
      <c r="I21" s="2"/>
      <c r="J21" s="8" t="e">
        <v>#DIV/0!</v>
      </c>
      <c r="K21" s="2">
        <v>2620</v>
      </c>
      <c r="L21" s="2">
        <v>88</v>
      </c>
      <c r="M21" s="8">
        <v>0.43666666666666665</v>
      </c>
    </row>
    <row r="22" spans="1:13" x14ac:dyDescent="0.25">
      <c r="A22" s="6" t="s">
        <v>68</v>
      </c>
      <c r="B22" s="2">
        <v>28895</v>
      </c>
      <c r="C22" s="2">
        <v>386</v>
      </c>
      <c r="D22" s="8">
        <v>0.31069892473118277</v>
      </c>
      <c r="E22" s="2">
        <v>25070</v>
      </c>
      <c r="F22" s="2">
        <v>403</v>
      </c>
      <c r="G22" s="8">
        <v>0.2695698924731183</v>
      </c>
      <c r="H22" s="2">
        <v>21640</v>
      </c>
      <c r="I22" s="2">
        <v>196</v>
      </c>
      <c r="J22" s="8">
        <v>0.44163265306122451</v>
      </c>
      <c r="K22" s="2">
        <v>75605</v>
      </c>
      <c r="L22" s="2">
        <v>985</v>
      </c>
      <c r="M22" s="8">
        <v>0.32172340425531915</v>
      </c>
    </row>
  </sheetData>
  <conditionalFormatting pivot="1" sqref="L7:L9 L6 L10 L11:L13 L14 L15:L17 L18 L19:L21">
    <cfRule type="expression" dxfId="26" priority="8">
      <formula>L6&gt;200</formula>
    </cfRule>
  </conditionalFormatting>
  <conditionalFormatting pivot="1" sqref="L6 L7:L9 L10 L11:L13 L14 L15:L17 L18 L19:L21">
    <cfRule type="expression" dxfId="25" priority="7">
      <formula>AND(L6&lt;=200,L6&gt;=100)</formula>
    </cfRule>
  </conditionalFormatting>
  <conditionalFormatting pivot="1" sqref="L6 L7:L9 L10 L11:L13 L14 L15:L17 L18 L19:L21">
    <cfRule type="expression" dxfId="24" priority="6">
      <formula>L6&lt;100</formula>
    </cfRule>
  </conditionalFormatting>
  <conditionalFormatting pivot="1" sqref="K7:K9 K6 K10 K11:K13 K14 K15:K17 K18 K19:K21">
    <cfRule type="dataBar" priority="5">
      <dataBar>
        <cfvo type="min"/>
        <cfvo type="max"/>
        <color rgb="FF008AEF"/>
      </dataBar>
      <extLst>
        <ext xmlns:x14="http://schemas.microsoft.com/office/spreadsheetml/2009/9/main" uri="{B025F937-C7B1-47D3-B67F-A62EFF666E3E}">
          <x14:id>{EB9137EC-D918-4CFD-ACB4-E4A72D78994D}</x14:id>
        </ext>
      </extLst>
    </cfRule>
  </conditionalFormatting>
  <conditionalFormatting pivot="1" sqref="K7:K9 K6 K10 K11:K13 K14 K15:K17 K18 K19:K21">
    <cfRule type="dataBar" priority="4">
      <dataBar>
        <cfvo type="min"/>
        <cfvo type="max"/>
        <color rgb="FF008AEF"/>
      </dataBar>
      <extLst>
        <ext xmlns:x14="http://schemas.microsoft.com/office/spreadsheetml/2009/9/main" uri="{B025F937-C7B1-47D3-B67F-A62EFF666E3E}">
          <x14:id>{A6C41C9F-A9B3-4DC8-817C-282126FE58DC}</x14:id>
        </ext>
      </extLst>
    </cfRule>
  </conditionalFormatting>
  <conditionalFormatting pivot="1" sqref="G6 G7:G9 G10 G11:G13 G14 G15:G17 G18 G19:G21">
    <cfRule type="iconSet" priority="3">
      <iconSet iconSet="4TrafficLights">
        <cfvo type="percent" val="0"/>
        <cfvo type="percent" val="25"/>
        <cfvo type="percent" val="40"/>
        <cfvo type="percent" val="80" gte="0"/>
      </iconSet>
    </cfRule>
  </conditionalFormatting>
  <conditionalFormatting pivot="1" sqref="G6 G7:G9 G10 G11:G13 G14 G15:G17 G18 G19:G21">
    <cfRule type="expression" dxfId="23" priority="2">
      <formula>G6&gt;80%</formula>
    </cfRule>
  </conditionalFormatting>
  <conditionalFormatting pivot="1" sqref="G6 G7:G9 G10 G11:G13 G14 G15:G17 G18 G19:G21">
    <cfRule type="expression" dxfId="22" priority="1">
      <formula>G6&gt;80%</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B9137EC-D918-4CFD-ACB4-E4A72D78994D}">
            <x14:dataBar minLength="0" maxLength="100" border="1" negativeBarBorderColorSameAsPositive="0">
              <x14:cfvo type="autoMin"/>
              <x14:cfvo type="autoMax"/>
              <x14:borderColor rgb="FF008AEF"/>
              <x14:negativeFillColor rgb="FFFF0000"/>
              <x14:negativeBorderColor rgb="FFFF0000"/>
              <x14:axisColor rgb="FF000000"/>
            </x14:dataBar>
          </x14:cfRule>
          <xm:sqref>K7:K9 K6 K10 K11:K13 K14 K15:K17 K18 K19:K21</xm:sqref>
        </x14:conditionalFormatting>
        <x14:conditionalFormatting xmlns:xm="http://schemas.microsoft.com/office/excel/2006/main" pivot="1">
          <x14:cfRule type="dataBar" id="{A6C41C9F-A9B3-4DC8-817C-282126FE58DC}">
            <x14:dataBar minLength="0" maxLength="100" border="1" negativeBarBorderColorSameAsPositive="0">
              <x14:cfvo type="autoMin"/>
              <x14:cfvo type="autoMax"/>
              <x14:borderColor rgb="FF008AEF"/>
              <x14:negativeFillColor rgb="FFFF0000"/>
              <x14:negativeBorderColor rgb="FFFF0000"/>
              <x14:axisColor rgb="FF000000"/>
            </x14:dataBar>
          </x14:cfRule>
          <xm:sqref>K7:K9 K6 K10 K11:K13 K14 K15:K17 K18 K19:K21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E4D5-B9D2-4EB0-9098-B41A7028189A}">
  <dimension ref="A3:D8"/>
  <sheetViews>
    <sheetView workbookViewId="0">
      <selection activeCell="B7" sqref="B7"/>
    </sheetView>
  </sheetViews>
  <sheetFormatPr defaultRowHeight="15" x14ac:dyDescent="0.25"/>
  <cols>
    <col min="1" max="1" width="13.42578125" bestFit="1" customWidth="1"/>
    <col min="2" max="2" width="21.42578125" bestFit="1" customWidth="1"/>
    <col min="3" max="3" width="18.85546875" bestFit="1" customWidth="1"/>
    <col min="4" max="4" width="27.5703125" bestFit="1" customWidth="1"/>
  </cols>
  <sheetData>
    <row r="3" spans="1:4" x14ac:dyDescent="0.25">
      <c r="A3" s="5" t="s">
        <v>67</v>
      </c>
      <c r="B3" t="s">
        <v>70</v>
      </c>
      <c r="C3" t="s">
        <v>76</v>
      </c>
      <c r="D3" t="s">
        <v>77</v>
      </c>
    </row>
    <row r="4" spans="1:4" x14ac:dyDescent="0.25">
      <c r="A4" s="6" t="s">
        <v>34</v>
      </c>
      <c r="B4" s="2">
        <v>31940</v>
      </c>
      <c r="C4" s="2">
        <v>7</v>
      </c>
      <c r="D4" s="2">
        <v>2555.1999999999998</v>
      </c>
    </row>
    <row r="5" spans="1:4" x14ac:dyDescent="0.25">
      <c r="A5" s="6" t="s">
        <v>36</v>
      </c>
      <c r="B5" s="2">
        <v>16355</v>
      </c>
      <c r="C5" s="2">
        <v>6</v>
      </c>
      <c r="D5" s="2">
        <v>1471.95</v>
      </c>
    </row>
    <row r="6" spans="1:4" x14ac:dyDescent="0.25">
      <c r="A6" s="6" t="s">
        <v>38</v>
      </c>
      <c r="B6" s="2">
        <v>14050</v>
      </c>
      <c r="C6" s="2">
        <v>6</v>
      </c>
      <c r="D6" s="2">
        <v>983.50000000000011</v>
      </c>
    </row>
    <row r="7" spans="1:4" x14ac:dyDescent="0.25">
      <c r="A7" s="6" t="s">
        <v>40</v>
      </c>
      <c r="B7" s="2">
        <v>13260</v>
      </c>
      <c r="C7" s="2">
        <v>6</v>
      </c>
      <c r="D7" s="2">
        <v>1060.8</v>
      </c>
    </row>
    <row r="8" spans="1:4" x14ac:dyDescent="0.25">
      <c r="A8" s="6" t="s">
        <v>68</v>
      </c>
      <c r="B8" s="2">
        <v>75605</v>
      </c>
      <c r="C8" s="2">
        <v>25</v>
      </c>
      <c r="D8" s="2">
        <v>6071.45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09F8-FC93-4C6E-8A02-2F7130C6CC1F}">
  <dimension ref="A3:C17"/>
  <sheetViews>
    <sheetView workbookViewId="0">
      <selection activeCell="H62" sqref="H62"/>
    </sheetView>
  </sheetViews>
  <sheetFormatPr defaultRowHeight="15" x14ac:dyDescent="0.25"/>
  <cols>
    <col min="1" max="1" width="16.42578125" bestFit="1" customWidth="1"/>
    <col min="2" max="2" width="17.5703125" bestFit="1" customWidth="1"/>
    <col min="3" max="3" width="12.7109375" bestFit="1" customWidth="1"/>
  </cols>
  <sheetData>
    <row r="3" spans="1:3" x14ac:dyDescent="0.25">
      <c r="A3" s="5" t="s">
        <v>67</v>
      </c>
      <c r="B3" t="s">
        <v>78</v>
      </c>
      <c r="C3" t="s">
        <v>79</v>
      </c>
    </row>
    <row r="4" spans="1:3" x14ac:dyDescent="0.25">
      <c r="A4" s="6" t="s">
        <v>24</v>
      </c>
      <c r="B4" s="2">
        <v>68</v>
      </c>
      <c r="C4" s="2">
        <v>15100</v>
      </c>
    </row>
    <row r="5" spans="1:3" x14ac:dyDescent="0.25">
      <c r="A5" s="7" t="s">
        <v>33</v>
      </c>
      <c r="B5" s="2">
        <v>25</v>
      </c>
      <c r="C5" s="2">
        <v>8750</v>
      </c>
    </row>
    <row r="6" spans="1:3" x14ac:dyDescent="0.25">
      <c r="A6" s="7" t="s">
        <v>37</v>
      </c>
      <c r="B6" s="2">
        <v>24</v>
      </c>
      <c r="C6" s="2">
        <v>3120</v>
      </c>
    </row>
    <row r="7" spans="1:3" x14ac:dyDescent="0.25">
      <c r="A7" s="7" t="s">
        <v>42</v>
      </c>
      <c r="B7" s="2">
        <v>19</v>
      </c>
      <c r="C7" s="2">
        <v>3230</v>
      </c>
    </row>
    <row r="8" spans="1:3" x14ac:dyDescent="0.25">
      <c r="A8" s="6" t="s">
        <v>25</v>
      </c>
      <c r="B8" s="2">
        <v>66</v>
      </c>
      <c r="C8" s="2">
        <v>7725</v>
      </c>
    </row>
    <row r="9" spans="1:3" x14ac:dyDescent="0.25">
      <c r="A9" s="7" t="s">
        <v>44</v>
      </c>
      <c r="B9" s="2">
        <v>6</v>
      </c>
      <c r="C9" s="2">
        <v>1350</v>
      </c>
    </row>
    <row r="10" spans="1:3" x14ac:dyDescent="0.25">
      <c r="A10" s="7" t="s">
        <v>41</v>
      </c>
      <c r="B10" s="2">
        <v>45</v>
      </c>
      <c r="C10" s="2">
        <v>3825</v>
      </c>
    </row>
    <row r="11" spans="1:3" x14ac:dyDescent="0.25">
      <c r="A11" s="7" t="s">
        <v>35</v>
      </c>
      <c r="B11" s="2">
        <v>15</v>
      </c>
      <c r="C11" s="2">
        <v>2550</v>
      </c>
    </row>
    <row r="12" spans="1:3" x14ac:dyDescent="0.25">
      <c r="A12" s="6" t="s">
        <v>26</v>
      </c>
      <c r="B12" s="2">
        <v>252</v>
      </c>
      <c r="C12" s="2">
        <v>3935</v>
      </c>
    </row>
    <row r="13" spans="1:3" x14ac:dyDescent="0.25">
      <c r="A13" s="7" t="s">
        <v>43</v>
      </c>
      <c r="B13" s="2">
        <v>110</v>
      </c>
      <c r="C13" s="2">
        <v>1430</v>
      </c>
    </row>
    <row r="14" spans="1:3" x14ac:dyDescent="0.25">
      <c r="A14" s="7" t="s">
        <v>46</v>
      </c>
      <c r="B14" s="2">
        <v>100</v>
      </c>
      <c r="C14" s="2">
        <v>300</v>
      </c>
    </row>
    <row r="15" spans="1:3" x14ac:dyDescent="0.25">
      <c r="A15" s="7" t="s">
        <v>39</v>
      </c>
      <c r="B15" s="2">
        <v>7</v>
      </c>
      <c r="C15" s="2">
        <v>700</v>
      </c>
    </row>
    <row r="16" spans="1:3" x14ac:dyDescent="0.25">
      <c r="A16" s="7" t="s">
        <v>45</v>
      </c>
      <c r="B16" s="2">
        <v>35</v>
      </c>
      <c r="C16" s="2">
        <v>1505</v>
      </c>
    </row>
    <row r="17" spans="1:3" x14ac:dyDescent="0.25">
      <c r="A17" s="6" t="s">
        <v>68</v>
      </c>
      <c r="B17" s="2">
        <v>386</v>
      </c>
      <c r="C17" s="2">
        <v>26760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B888-9DA6-4DBC-B61B-19E2575743AB}">
  <dimension ref="A1:F9"/>
  <sheetViews>
    <sheetView workbookViewId="0">
      <selection activeCell="H5" sqref="H5"/>
    </sheetView>
  </sheetViews>
  <sheetFormatPr defaultRowHeight="15" x14ac:dyDescent="0.25"/>
  <cols>
    <col min="1" max="1" width="9.42578125" customWidth="1"/>
    <col min="3" max="3" width="21.42578125" customWidth="1"/>
    <col min="4" max="4" width="20.7109375" customWidth="1"/>
    <col min="5" max="5" width="21" customWidth="1"/>
    <col min="6" max="6" width="21.7109375" customWidth="1"/>
  </cols>
  <sheetData>
    <row r="1" spans="1:6" x14ac:dyDescent="0.25">
      <c r="A1" t="s">
        <v>1</v>
      </c>
      <c r="B1" t="s">
        <v>11</v>
      </c>
      <c r="C1" t="s">
        <v>80</v>
      </c>
      <c r="D1" t="s">
        <v>81</v>
      </c>
      <c r="E1" t="s">
        <v>83</v>
      </c>
      <c r="F1" t="s">
        <v>84</v>
      </c>
    </row>
    <row r="2" spans="1:6" x14ac:dyDescent="0.25">
      <c r="A2" t="s">
        <v>27</v>
      </c>
      <c r="B2">
        <v>2024</v>
      </c>
      <c r="C2">
        <f>SUMIFS(Sales_Data!$H:$H,Sales_Data!$L:$L,Dashboard!B2,Sales_Data!$B:$B,Dashboard!A2)</f>
        <v>16355</v>
      </c>
      <c r="D2">
        <f>SUMIFS(Sales_Data!$J:$J,Sales_Data!$B:$B,Dashboard!A2,Sales_Data!$L:$L,Dashboard!B2)</f>
        <v>5665</v>
      </c>
      <c r="E2">
        <f>ROUND(AVERAGEIFS(Sales_Data!$N:$N,Sales_Data!$B:$B,Dashboard!A2,Sales_Data!$L:$L,Dashboard!B2),2)</f>
        <v>37.17</v>
      </c>
      <c r="F2">
        <f>COUNTIFS(Sales_Data!$B:$B, Dashboard!A2,Sales_Data!L:L,Dashboard!B2)</f>
        <v>6</v>
      </c>
    </row>
    <row r="3" spans="1:6" x14ac:dyDescent="0.25">
      <c r="A3" t="s">
        <v>23</v>
      </c>
      <c r="B3">
        <v>2024</v>
      </c>
      <c r="C3">
        <f>SUMIFS(Sales_Data!$H:$H,Sales_Data!$L:$L,Dashboard!B3,Sales_Data!$B:$B,Dashboard!A3)</f>
        <v>31940</v>
      </c>
      <c r="D3">
        <f>SUMIFS(Sales_Data!$J:$J,Sales_Data!$B:$B,Dashboard!A3,Sales_Data!$L:$L,Dashboard!B3)</f>
        <v>10500</v>
      </c>
      <c r="E3">
        <f>ROUND(AVERAGEIFS(Sales_Data!$N:$N,Sales_Data!$B:$B,Dashboard!A3,Sales_Data!$L:$L,Dashboard!B3),2)</f>
        <v>39.57</v>
      </c>
      <c r="F3">
        <f>COUNTIFS(Sales_Data!$B:$B, Dashboard!A3,Sales_Data!L:L,Dashboard!B3)</f>
        <v>7</v>
      </c>
    </row>
    <row r="4" spans="1:6" x14ac:dyDescent="0.25">
      <c r="A4" t="s">
        <v>20</v>
      </c>
      <c r="B4">
        <v>2024</v>
      </c>
      <c r="C4">
        <f>SUMIFS(Sales_Data!$H:$H,Sales_Data!$L:$L,Dashboard!B4,Sales_Data!$B:$B,Dashboard!A4)</f>
        <v>14050</v>
      </c>
      <c r="D4">
        <f>SUMIFS(Sales_Data!$J:$J,Sales_Data!$B:$B,Dashboard!A4,Sales_Data!$L:$L,Dashboard!B4)</f>
        <v>5905</v>
      </c>
      <c r="E4">
        <f>ROUND(AVERAGEIFS(Sales_Data!$N:$N,Sales_Data!$B:$B,Dashboard!A4,Sales_Data!$L:$L,Dashboard!B4),2)</f>
        <v>43.5</v>
      </c>
      <c r="F4">
        <f>COUNTIFS(Sales_Data!$B:$B, Dashboard!A4,Sales_Data!L:L,Dashboard!B4)</f>
        <v>6</v>
      </c>
    </row>
    <row r="5" spans="1:6" x14ac:dyDescent="0.25">
      <c r="A5" t="s">
        <v>20</v>
      </c>
      <c r="B5">
        <v>2024</v>
      </c>
      <c r="C5">
        <f>SUMIFS(Sales_Data!$H:$H,Sales_Data!$L:$L,Dashboard!B5,Sales_Data!$B:$B,Dashboard!A5)</f>
        <v>14050</v>
      </c>
      <c r="D5">
        <f>SUMIFS(Sales_Data!$J:$J,Sales_Data!$B:$B,Dashboard!A5,Sales_Data!$L:$L,Dashboard!B5)</f>
        <v>5905</v>
      </c>
      <c r="E5">
        <f>ROUND(AVERAGEIFS(Sales_Data!$N:$N,Sales_Data!$B:$B,Dashboard!A5,Sales_Data!$L:$L,Dashboard!B5),2)</f>
        <v>43.5</v>
      </c>
      <c r="F5">
        <f>COUNTIFS(Sales_Data!$B:$B, Dashboard!A5,Sales_Data!L:L,Dashboard!B5)</f>
        <v>6</v>
      </c>
    </row>
    <row r="6" spans="1:6" x14ac:dyDescent="0.25">
      <c r="A6" s="4" t="s">
        <v>82</v>
      </c>
      <c r="B6" s="4"/>
      <c r="C6" s="9">
        <f>SUM(C2:C5)</f>
        <v>76395</v>
      </c>
      <c r="D6" s="9">
        <f>SUM(D2:D5)</f>
        <v>27975</v>
      </c>
      <c r="E6" s="9">
        <f t="shared" ref="E6:F6" si="0">SUM(E2:E5)</f>
        <v>163.74</v>
      </c>
      <c r="F6" s="9">
        <f t="shared" si="0"/>
        <v>25</v>
      </c>
    </row>
    <row r="7" spans="1:6" x14ac:dyDescent="0.25">
      <c r="A7" s="4"/>
      <c r="B7" s="4"/>
    </row>
    <row r="8" spans="1:6" x14ac:dyDescent="0.25">
      <c r="A8" s="4"/>
      <c r="B8" s="4"/>
    </row>
    <row r="9" spans="1:6" x14ac:dyDescent="0.25">
      <c r="A9" s="4"/>
      <c r="B9" s="4"/>
    </row>
  </sheetData>
  <phoneticPr fontId="2" type="noConversion"/>
  <conditionalFormatting sqref="C2:C5">
    <cfRule type="expression" dxfId="9" priority="7">
      <formula>C2&gt;25000</formula>
    </cfRule>
    <cfRule type="expression" dxfId="8" priority="8">
      <formula>AND(C2&gt;=10000,C2&lt;=20000)</formula>
    </cfRule>
    <cfRule type="expression" dxfId="7" priority="9">
      <formula>C2&lt;10000</formula>
    </cfRule>
  </conditionalFormatting>
  <conditionalFormatting sqref="D2:D5">
    <cfRule type="expression" dxfId="6" priority="4">
      <formula>D2&lt;5000</formula>
    </cfRule>
    <cfRule type="expression" dxfId="5" priority="5">
      <formula>AND(D2&lt;=10000,D2&gt;=5000)</formula>
    </cfRule>
    <cfRule type="expression" dxfId="4" priority="6">
      <formula>D2&gt;10000</formula>
    </cfRule>
  </conditionalFormatting>
  <conditionalFormatting sqref="E2:E5">
    <cfRule type="expression" dxfId="3" priority="1">
      <formula>E2&lt;40</formula>
    </cfRule>
    <cfRule type="expression" dxfId="2" priority="2">
      <formula>AND(E2&lt;=45,E2&gt;=40)</formula>
    </cfRule>
    <cfRule type="expression" dxfId="1" priority="3">
      <formula>E2&gt;45</formula>
    </cfRule>
  </conditionalFormatting>
  <dataValidations count="2">
    <dataValidation type="list" allowBlank="1" showInputMessage="1" showErrorMessage="1" sqref="A2:A5" xr:uid="{4937AA84-0D64-4B7D-8543-FA11CD16BEFD}">
      <formula1>"North, East, West, South"</formula1>
    </dataValidation>
    <dataValidation type="list" allowBlank="1" showInputMessage="1" showErrorMessage="1" sqref="B2:B5" xr:uid="{C0969FDB-6E7D-40C1-90B5-5DE1C0038774}">
      <formula1>"2024"</formula1>
    </dataValidation>
  </dataValidations>
  <pageMargins left="0.7" right="0.7" top="0.75" bottom="0.75" header="0.3" footer="0.3"/>
  <drawing r:id="rId1"/>
  <legacyDrawing r:id="rId2"/>
  <tableParts count="1">
    <tablePart r:id="rId3"/>
  </tableParts>
  <extLst>
    <ext xmlns:x14="http://schemas.microsoft.com/office/spreadsheetml/2009/9/main" uri="{05C60535-1F16-4fd2-B633-F4F36F0B64E0}">
      <x14:sparklineGroups xmlns:xm="http://schemas.microsoft.com/office/excel/2006/main">
        <x14:sparklineGroup type="column" displayEmptyCellsAs="gap" high="1" low="1" negative="1" xr2:uid="{5088E823-54C0-407A-A224-261930D214B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Dashboard!C2:C5</xm:f>
              <xm:sqref>C8</xm:sqref>
            </x14:sparkline>
            <x14:sparkline>
              <xm:f>Dashboard!D2:D5</xm:f>
              <xm:sqref>D8</xm:sqref>
            </x14:sparkline>
            <x14:sparkline>
              <xm:f>Dashboard!E2:E5</xm:f>
              <xm:sqref>E8</xm:sqref>
            </x14:sparkline>
            <x14:sparkline>
              <xm:f>Dashboard!F2:F5</xm:f>
              <xm:sqref>F8</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A2DF-D3A7-48F0-B862-406A31029526}">
  <dimension ref="A3:E22"/>
  <sheetViews>
    <sheetView workbookViewId="0">
      <selection activeCell="D17" sqref="D17:E21"/>
    </sheetView>
  </sheetViews>
  <sheetFormatPr defaultRowHeight="15" x14ac:dyDescent="0.25"/>
  <cols>
    <col min="1" max="1" width="13.42578125" bestFit="1" customWidth="1"/>
    <col min="2" max="2" width="21.42578125" bestFit="1" customWidth="1"/>
    <col min="3" max="3" width="27.42578125" bestFit="1" customWidth="1"/>
    <col min="4" max="4" width="18.85546875" bestFit="1" customWidth="1"/>
    <col min="5" max="5" width="21.42578125" bestFit="1" customWidth="1"/>
    <col min="7" max="7" width="13.42578125" bestFit="1" customWidth="1"/>
    <col min="8" max="8" width="12.7109375" bestFit="1" customWidth="1"/>
    <col min="9" max="9" width="8.85546875" bestFit="1" customWidth="1"/>
    <col min="10" max="10" width="6.42578125" bestFit="1" customWidth="1"/>
    <col min="11" max="11" width="13.85546875" bestFit="1" customWidth="1"/>
    <col min="12" max="12" width="21.42578125" bestFit="1" customWidth="1"/>
    <col min="15" max="15" width="13.42578125" bestFit="1" customWidth="1"/>
    <col min="16" max="16" width="21.42578125" bestFit="1" customWidth="1"/>
    <col min="17" max="17" width="27.42578125" bestFit="1" customWidth="1"/>
    <col min="18" max="18" width="18.85546875" bestFit="1" customWidth="1"/>
  </cols>
  <sheetData>
    <row r="3" spans="1:5" x14ac:dyDescent="0.25">
      <c r="A3" s="5" t="s">
        <v>85</v>
      </c>
      <c r="B3" s="5" t="s">
        <v>69</v>
      </c>
    </row>
    <row r="4" spans="1:5" x14ac:dyDescent="0.25">
      <c r="A4" s="5" t="s">
        <v>67</v>
      </c>
      <c r="B4" t="s">
        <v>13</v>
      </c>
      <c r="C4" t="s">
        <v>14</v>
      </c>
      <c r="D4" t="s">
        <v>15</v>
      </c>
      <c r="E4" t="s">
        <v>68</v>
      </c>
    </row>
    <row r="5" spans="1:5" x14ac:dyDescent="0.25">
      <c r="A5" s="6" t="s">
        <v>20</v>
      </c>
      <c r="B5" s="2">
        <v>18000</v>
      </c>
      <c r="C5" s="2">
        <v>38000</v>
      </c>
      <c r="D5" s="2">
        <v>3000</v>
      </c>
      <c r="E5" s="2">
        <v>59000</v>
      </c>
    </row>
    <row r="6" spans="1:5" x14ac:dyDescent="0.25">
      <c r="A6" s="6" t="s">
        <v>23</v>
      </c>
      <c r="B6" s="2">
        <v>38000</v>
      </c>
      <c r="C6" s="2">
        <v>6000</v>
      </c>
      <c r="D6" s="2">
        <v>23000</v>
      </c>
      <c r="E6" s="2">
        <v>67000</v>
      </c>
    </row>
    <row r="7" spans="1:5" x14ac:dyDescent="0.25">
      <c r="A7" s="6" t="s">
        <v>27</v>
      </c>
      <c r="B7" s="2">
        <v>26000</v>
      </c>
      <c r="C7" s="2">
        <v>23000</v>
      </c>
      <c r="D7" s="2">
        <v>8000</v>
      </c>
      <c r="E7" s="2">
        <v>57000</v>
      </c>
    </row>
    <row r="8" spans="1:5" x14ac:dyDescent="0.25">
      <c r="A8" s="6" t="s">
        <v>28</v>
      </c>
      <c r="B8" s="2">
        <v>11000</v>
      </c>
      <c r="C8" s="2">
        <v>26000</v>
      </c>
      <c r="D8" s="2">
        <v>15000</v>
      </c>
      <c r="E8" s="2">
        <v>52000</v>
      </c>
    </row>
    <row r="9" spans="1:5" x14ac:dyDescent="0.25">
      <c r="A9" s="6" t="s">
        <v>68</v>
      </c>
      <c r="B9" s="2">
        <v>93000</v>
      </c>
      <c r="C9" s="2">
        <v>93000</v>
      </c>
      <c r="D9" s="2">
        <v>49000</v>
      </c>
      <c r="E9" s="2">
        <v>235000</v>
      </c>
    </row>
    <row r="11" spans="1:5" x14ac:dyDescent="0.25">
      <c r="A11" s="5" t="s">
        <v>67</v>
      </c>
      <c r="B11" t="s">
        <v>70</v>
      </c>
      <c r="C11" t="s">
        <v>86</v>
      </c>
      <c r="D11" t="s">
        <v>76</v>
      </c>
    </row>
    <row r="12" spans="1:5" x14ac:dyDescent="0.25">
      <c r="A12" s="6" t="s">
        <v>38</v>
      </c>
      <c r="B12" s="2">
        <v>14050</v>
      </c>
      <c r="C12" s="2">
        <v>983.50000000000011</v>
      </c>
      <c r="D12" s="2">
        <v>6</v>
      </c>
    </row>
    <row r="13" spans="1:5" x14ac:dyDescent="0.25">
      <c r="A13" s="6" t="s">
        <v>36</v>
      </c>
      <c r="B13" s="2">
        <v>16355</v>
      </c>
      <c r="C13" s="2">
        <v>1471.95</v>
      </c>
      <c r="D13" s="2">
        <v>6</v>
      </c>
    </row>
    <row r="14" spans="1:5" x14ac:dyDescent="0.25">
      <c r="A14" s="6" t="s">
        <v>34</v>
      </c>
      <c r="B14" s="2">
        <v>31940</v>
      </c>
      <c r="C14" s="2">
        <v>2555.1999999999998</v>
      </c>
      <c r="D14" s="2">
        <v>7</v>
      </c>
    </row>
    <row r="15" spans="1:5" x14ac:dyDescent="0.25">
      <c r="A15" s="6" t="s">
        <v>40</v>
      </c>
      <c r="B15" s="2">
        <v>13260</v>
      </c>
      <c r="C15" s="2">
        <v>1060.8</v>
      </c>
      <c r="D15" s="2">
        <v>6</v>
      </c>
    </row>
    <row r="16" spans="1:5" x14ac:dyDescent="0.25">
      <c r="A16" s="6" t="s">
        <v>68</v>
      </c>
      <c r="B16" s="2">
        <v>75605</v>
      </c>
      <c r="C16" s="2">
        <v>6071.45</v>
      </c>
      <c r="D16" s="2">
        <v>25</v>
      </c>
    </row>
    <row r="17" spans="1:5" x14ac:dyDescent="0.25">
      <c r="D17" s="5" t="s">
        <v>67</v>
      </c>
      <c r="E17" t="s">
        <v>70</v>
      </c>
    </row>
    <row r="18" spans="1:5" x14ac:dyDescent="0.25">
      <c r="A18" s="5" t="s">
        <v>67</v>
      </c>
      <c r="B18" t="s">
        <v>79</v>
      </c>
      <c r="D18" s="6" t="s">
        <v>24</v>
      </c>
      <c r="E18" s="2">
        <v>48850</v>
      </c>
    </row>
    <row r="19" spans="1:5" x14ac:dyDescent="0.25">
      <c r="A19" s="6" t="s">
        <v>13</v>
      </c>
      <c r="B19" s="2">
        <v>9935</v>
      </c>
      <c r="D19" s="6" t="s">
        <v>25</v>
      </c>
      <c r="E19" s="2">
        <v>18570</v>
      </c>
    </row>
    <row r="20" spans="1:5" x14ac:dyDescent="0.25">
      <c r="A20" s="6" t="s">
        <v>14</v>
      </c>
      <c r="B20" s="2">
        <v>9245</v>
      </c>
      <c r="D20" s="6" t="s">
        <v>26</v>
      </c>
      <c r="E20" s="2">
        <v>8185</v>
      </c>
    </row>
    <row r="21" spans="1:5" x14ac:dyDescent="0.25">
      <c r="A21" s="6" t="s">
        <v>15</v>
      </c>
      <c r="B21" s="2">
        <v>7580</v>
      </c>
      <c r="D21" s="6" t="s">
        <v>68</v>
      </c>
      <c r="E21" s="2">
        <v>75605</v>
      </c>
    </row>
    <row r="22" spans="1:5" x14ac:dyDescent="0.25">
      <c r="A22" s="6" t="s">
        <v>68</v>
      </c>
      <c r="B22" s="2">
        <v>26760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6F0C-EC66-4A55-9E88-1A6DDEB45229}">
  <sheetPr>
    <outlinePr summaryBelow="0"/>
  </sheetPr>
  <dimension ref="B1:G14"/>
  <sheetViews>
    <sheetView showGridLines="0" workbookViewId="0">
      <selection activeCell="H16" sqref="H16"/>
    </sheetView>
  </sheetViews>
  <sheetFormatPr defaultRowHeight="15" outlineLevelRow="1" outlineLevelCol="1" x14ac:dyDescent="0.25"/>
  <cols>
    <col min="3" max="3" width="5.5703125" bestFit="1" customWidth="1"/>
    <col min="4" max="7" width="12.42578125" customWidth="1" outlineLevel="1"/>
  </cols>
  <sheetData>
    <row r="1" spans="2:7" ht="15.75" thickBot="1" x14ac:dyDescent="0.3"/>
    <row r="2" spans="2:7" ht="15.75" x14ac:dyDescent="0.25">
      <c r="B2" s="16" t="s">
        <v>136</v>
      </c>
      <c r="C2" s="16"/>
      <c r="D2" s="21"/>
      <c r="E2" s="21"/>
      <c r="F2" s="21"/>
      <c r="G2" s="21"/>
    </row>
    <row r="3" spans="2:7" ht="15.75" collapsed="1" x14ac:dyDescent="0.25">
      <c r="B3" s="15"/>
      <c r="C3" s="15"/>
      <c r="D3" s="22" t="s">
        <v>138</v>
      </c>
      <c r="E3" s="22" t="s">
        <v>133</v>
      </c>
      <c r="F3" s="22" t="s">
        <v>135</v>
      </c>
      <c r="G3" s="22" t="s">
        <v>127</v>
      </c>
    </row>
    <row r="4" spans="2:7" ht="33.75" hidden="1" outlineLevel="1" x14ac:dyDescent="0.25">
      <c r="B4" s="18"/>
      <c r="C4" s="18"/>
      <c r="D4" s="13"/>
      <c r="E4" s="24" t="s">
        <v>134</v>
      </c>
      <c r="F4" s="24" t="s">
        <v>134</v>
      </c>
      <c r="G4" s="24" t="s">
        <v>134</v>
      </c>
    </row>
    <row r="5" spans="2:7" x14ac:dyDescent="0.25">
      <c r="B5" s="19" t="s">
        <v>137</v>
      </c>
      <c r="C5" s="19"/>
      <c r="D5" s="17"/>
      <c r="E5" s="17"/>
      <c r="F5" s="17"/>
      <c r="G5" s="17"/>
    </row>
    <row r="6" spans="2:7" outlineLevel="1" x14ac:dyDescent="0.25">
      <c r="B6" s="18"/>
      <c r="C6" s="18" t="s">
        <v>128</v>
      </c>
      <c r="D6" s="13">
        <v>1200</v>
      </c>
      <c r="E6" s="23">
        <v>0.2</v>
      </c>
      <c r="F6" s="23">
        <v>-0.15</v>
      </c>
      <c r="G6" s="23">
        <v>0.1</v>
      </c>
    </row>
    <row r="7" spans="2:7" outlineLevel="1" x14ac:dyDescent="0.25">
      <c r="B7" s="18"/>
      <c r="C7" s="18" t="s">
        <v>129</v>
      </c>
      <c r="D7" s="13">
        <v>5</v>
      </c>
      <c r="E7" s="23">
        <v>0.05</v>
      </c>
      <c r="F7" s="23">
        <v>-0.1</v>
      </c>
      <c r="G7" s="23">
        <v>0</v>
      </c>
    </row>
    <row r="8" spans="2:7" x14ac:dyDescent="0.25">
      <c r="B8" s="19" t="s">
        <v>139</v>
      </c>
      <c r="C8" s="19"/>
      <c r="D8" s="17"/>
      <c r="E8" s="17"/>
      <c r="F8" s="17"/>
      <c r="G8" s="17"/>
    </row>
    <row r="9" spans="2:7" outlineLevel="1" x14ac:dyDescent="0.25">
      <c r="B9" s="18"/>
      <c r="C9" s="18" t="s">
        <v>130</v>
      </c>
      <c r="D9" s="13">
        <v>50000</v>
      </c>
      <c r="E9" s="13">
        <v>44000.01</v>
      </c>
      <c r="F9" s="13">
        <v>44000.014999999999</v>
      </c>
      <c r="G9" s="13">
        <v>44000</v>
      </c>
    </row>
    <row r="10" spans="2:7" outlineLevel="1" x14ac:dyDescent="0.25">
      <c r="B10" s="18"/>
      <c r="C10" s="18" t="s">
        <v>131</v>
      </c>
      <c r="D10" s="13">
        <v>50000</v>
      </c>
      <c r="E10" s="13">
        <v>50000</v>
      </c>
      <c r="F10" s="13">
        <v>50000</v>
      </c>
      <c r="G10" s="13">
        <v>50000</v>
      </c>
    </row>
    <row r="11" spans="2:7" ht="15.75" outlineLevel="1" thickBot="1" x14ac:dyDescent="0.3">
      <c r="B11" s="20"/>
      <c r="C11" s="20" t="s">
        <v>132</v>
      </c>
      <c r="D11" s="14">
        <v>50000</v>
      </c>
      <c r="E11" s="14">
        <v>50000</v>
      </c>
      <c r="F11" s="14">
        <v>50000</v>
      </c>
      <c r="G11" s="14">
        <v>50000</v>
      </c>
    </row>
    <row r="12" spans="2:7" x14ac:dyDescent="0.25">
      <c r="B12" t="s">
        <v>140</v>
      </c>
    </row>
    <row r="13" spans="2:7" x14ac:dyDescent="0.25">
      <c r="B13" t="s">
        <v>141</v>
      </c>
    </row>
    <row r="14" spans="2:7" x14ac:dyDescent="0.25">
      <c r="B14" t="s">
        <v>142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84828-2EE9-43D3-9B4F-CF1CFACA65B7}">
  <dimension ref="A1:Q26"/>
  <sheetViews>
    <sheetView workbookViewId="0">
      <selection activeCell="L4" sqref="L4 M4 N4"/>
    </sheetView>
  </sheetViews>
  <sheetFormatPr defaultRowHeight="15" x14ac:dyDescent="0.25"/>
  <cols>
    <col min="1" max="2" width="10.5703125" customWidth="1"/>
    <col min="3" max="3" width="10.42578125" customWidth="1"/>
    <col min="4" max="4" width="9.85546875" customWidth="1"/>
    <col min="5" max="5" width="10.7109375" customWidth="1"/>
    <col min="6" max="6" width="18.140625" customWidth="1"/>
    <col min="7" max="7" width="11.42578125" customWidth="1"/>
    <col min="8" max="8" width="12.85546875" customWidth="1"/>
    <col min="9" max="9" width="16" customWidth="1"/>
    <col min="10" max="10" width="13.7109375" customWidth="1"/>
    <col min="12" max="12" width="12.140625" customWidth="1"/>
  </cols>
  <sheetData>
    <row r="1" spans="1:17" x14ac:dyDescent="0.25">
      <c r="A1" t="s">
        <v>88</v>
      </c>
      <c r="B1" t="s">
        <v>10</v>
      </c>
      <c r="C1" t="s">
        <v>89</v>
      </c>
      <c r="D1" t="s">
        <v>90</v>
      </c>
      <c r="E1" t="s">
        <v>91</v>
      </c>
      <c r="F1" t="s">
        <v>92</v>
      </c>
      <c r="G1" t="s">
        <v>93</v>
      </c>
      <c r="H1" t="s">
        <v>94</v>
      </c>
      <c r="I1" t="s">
        <v>95</v>
      </c>
      <c r="J1" t="s">
        <v>96</v>
      </c>
      <c r="L1" s="26" t="s">
        <v>122</v>
      </c>
      <c r="M1" s="26"/>
      <c r="N1" s="26"/>
    </row>
    <row r="2" spans="1:17" x14ac:dyDescent="0.25">
      <c r="A2" s="1">
        <v>45296</v>
      </c>
      <c r="B2" s="1" t="str">
        <f>TEXT(A2,"mmm")</f>
        <v>Jan</v>
      </c>
      <c r="C2" s="1" t="s">
        <v>97</v>
      </c>
      <c r="D2" t="s">
        <v>98</v>
      </c>
      <c r="E2" t="s">
        <v>99</v>
      </c>
      <c r="F2" t="s">
        <v>100</v>
      </c>
      <c r="G2">
        <v>5</v>
      </c>
      <c r="H2">
        <v>1200</v>
      </c>
      <c r="I2">
        <f>G2*H2</f>
        <v>6000</v>
      </c>
      <c r="J2">
        <v>850</v>
      </c>
      <c r="L2" s="26" t="s">
        <v>118</v>
      </c>
      <c r="M2" s="26"/>
      <c r="N2" s="26"/>
    </row>
    <row r="3" spans="1:17" x14ac:dyDescent="0.25">
      <c r="A3" s="1">
        <v>45299</v>
      </c>
      <c r="B3" s="1" t="str">
        <f t="shared" ref="B3:B26" si="0">TEXT(A3,"mmm")</f>
        <v>Jan</v>
      </c>
      <c r="C3" s="1" t="s">
        <v>101</v>
      </c>
      <c r="D3" t="s">
        <v>102</v>
      </c>
      <c r="E3" t="s">
        <v>103</v>
      </c>
      <c r="F3" t="s">
        <v>104</v>
      </c>
      <c r="G3">
        <v>3</v>
      </c>
      <c r="H3">
        <v>450</v>
      </c>
      <c r="I3">
        <f t="shared" ref="I3:I26" si="1">G3*H3</f>
        <v>1350</v>
      </c>
      <c r="J3">
        <v>280</v>
      </c>
      <c r="L3" s="11" t="s">
        <v>119</v>
      </c>
      <c r="M3" s="11" t="s">
        <v>120</v>
      </c>
      <c r="N3" s="11" t="s">
        <v>121</v>
      </c>
    </row>
    <row r="4" spans="1:17" x14ac:dyDescent="0.25">
      <c r="A4" s="1">
        <v>45301</v>
      </c>
      <c r="B4" s="1" t="str">
        <f t="shared" si="0"/>
        <v>Jan</v>
      </c>
      <c r="C4" s="1" t="s">
        <v>105</v>
      </c>
      <c r="D4" t="s">
        <v>98</v>
      </c>
      <c r="E4" t="s">
        <v>106</v>
      </c>
      <c r="F4" t="s">
        <v>107</v>
      </c>
      <c r="G4">
        <v>8</v>
      </c>
      <c r="H4">
        <v>350</v>
      </c>
      <c r="I4">
        <f t="shared" si="1"/>
        <v>2800</v>
      </c>
      <c r="J4">
        <v>220</v>
      </c>
      <c r="L4" s="11">
        <f>SUMIFS($I:$I,$B:$B,B2)</f>
        <v>50000</v>
      </c>
      <c r="M4" s="11">
        <f>SUMIFS($I:$I,$B:$B,B12)</f>
        <v>50000</v>
      </c>
      <c r="N4" s="11">
        <f>SUMIFS($I:$I,$B:$B,B22)</f>
        <v>50000</v>
      </c>
    </row>
    <row r="5" spans="1:17" x14ac:dyDescent="0.25">
      <c r="A5" s="1">
        <v>45303</v>
      </c>
      <c r="B5" s="1" t="str">
        <f t="shared" si="0"/>
        <v>Jan</v>
      </c>
      <c r="C5" s="1" t="s">
        <v>108</v>
      </c>
      <c r="D5" t="s">
        <v>109</v>
      </c>
      <c r="E5" t="s">
        <v>110</v>
      </c>
      <c r="F5" t="s">
        <v>111</v>
      </c>
      <c r="G5">
        <v>4</v>
      </c>
      <c r="H5">
        <v>280</v>
      </c>
      <c r="I5">
        <f t="shared" si="1"/>
        <v>1120</v>
      </c>
      <c r="J5">
        <v>180</v>
      </c>
    </row>
    <row r="6" spans="1:17" x14ac:dyDescent="0.25">
      <c r="A6" s="1">
        <v>45306</v>
      </c>
      <c r="B6" s="1" t="str">
        <f t="shared" si="0"/>
        <v>Jan</v>
      </c>
      <c r="C6" s="1" t="s">
        <v>97</v>
      </c>
      <c r="D6" t="s">
        <v>102</v>
      </c>
      <c r="E6" t="s">
        <v>112</v>
      </c>
      <c r="F6" t="s">
        <v>100</v>
      </c>
      <c r="G6">
        <v>12</v>
      </c>
      <c r="H6">
        <v>180</v>
      </c>
      <c r="I6">
        <f t="shared" si="1"/>
        <v>2160</v>
      </c>
      <c r="J6">
        <v>95</v>
      </c>
      <c r="L6" s="26" t="s">
        <v>123</v>
      </c>
      <c r="M6" s="26"/>
      <c r="N6" s="26"/>
      <c r="O6" s="26"/>
      <c r="P6" s="26"/>
      <c r="Q6" s="26"/>
    </row>
    <row r="7" spans="1:17" x14ac:dyDescent="0.25">
      <c r="A7" s="1">
        <v>45309</v>
      </c>
      <c r="B7" s="1" t="str">
        <f t="shared" si="0"/>
        <v>Jan</v>
      </c>
      <c r="C7" s="1" t="s">
        <v>101</v>
      </c>
      <c r="D7" t="s">
        <v>98</v>
      </c>
      <c r="E7" t="s">
        <v>113</v>
      </c>
      <c r="F7" t="s">
        <v>104</v>
      </c>
      <c r="G7">
        <v>6</v>
      </c>
      <c r="H7">
        <v>550</v>
      </c>
      <c r="I7">
        <f t="shared" si="1"/>
        <v>3300</v>
      </c>
      <c r="J7">
        <v>380</v>
      </c>
      <c r="L7" s="11" t="s">
        <v>2</v>
      </c>
      <c r="M7" s="11" t="s">
        <v>4</v>
      </c>
      <c r="N7" s="11" t="s">
        <v>125</v>
      </c>
      <c r="O7" s="11" t="s">
        <v>124</v>
      </c>
      <c r="P7" s="11" t="s">
        <v>87</v>
      </c>
      <c r="Q7" s="11" t="s">
        <v>9</v>
      </c>
    </row>
    <row r="8" spans="1:17" x14ac:dyDescent="0.25">
      <c r="A8" s="1">
        <v>45311</v>
      </c>
      <c r="B8" s="1" t="str">
        <f t="shared" si="0"/>
        <v>Jan</v>
      </c>
      <c r="C8" s="1" t="s">
        <v>105</v>
      </c>
      <c r="D8" t="s">
        <v>109</v>
      </c>
      <c r="E8" t="s">
        <v>114</v>
      </c>
      <c r="F8" t="s">
        <v>107</v>
      </c>
      <c r="G8">
        <v>50</v>
      </c>
      <c r="H8">
        <v>447.1</v>
      </c>
      <c r="I8">
        <f t="shared" si="1"/>
        <v>22355</v>
      </c>
      <c r="J8">
        <v>12</v>
      </c>
      <c r="L8" s="12">
        <v>45296</v>
      </c>
      <c r="M8" s="11" t="s">
        <v>99</v>
      </c>
      <c r="N8" s="11">
        <v>5</v>
      </c>
      <c r="O8" s="11">
        <v>1200</v>
      </c>
      <c r="P8" s="11">
        <f>O8*N8</f>
        <v>6000</v>
      </c>
      <c r="Q8" s="11">
        <f>P8-(J2*G2)</f>
        <v>1750</v>
      </c>
    </row>
    <row r="9" spans="1:17" x14ac:dyDescent="0.25">
      <c r="A9" s="1">
        <v>45313</v>
      </c>
      <c r="B9" s="1" t="str">
        <f t="shared" si="0"/>
        <v>Jan</v>
      </c>
      <c r="C9" s="1" t="s">
        <v>108</v>
      </c>
      <c r="D9" t="s">
        <v>102</v>
      </c>
      <c r="E9" t="s">
        <v>115</v>
      </c>
      <c r="F9" t="s">
        <v>111</v>
      </c>
      <c r="G9">
        <v>2</v>
      </c>
      <c r="H9">
        <v>620</v>
      </c>
      <c r="I9">
        <f t="shared" si="1"/>
        <v>1240</v>
      </c>
      <c r="J9">
        <v>395</v>
      </c>
      <c r="L9" s="11"/>
      <c r="M9" s="11"/>
      <c r="N9" s="11"/>
      <c r="O9" s="11"/>
      <c r="P9" s="11"/>
      <c r="Q9" s="11"/>
    </row>
    <row r="10" spans="1:17" x14ac:dyDescent="0.25">
      <c r="A10" s="1">
        <v>45316</v>
      </c>
      <c r="B10" s="1" t="str">
        <f t="shared" si="0"/>
        <v>Jan</v>
      </c>
      <c r="C10" s="1" t="s">
        <v>97</v>
      </c>
      <c r="D10" t="s">
        <v>98</v>
      </c>
      <c r="E10" t="s">
        <v>99</v>
      </c>
      <c r="F10" t="s">
        <v>100</v>
      </c>
      <c r="G10">
        <v>7</v>
      </c>
      <c r="H10">
        <v>1200</v>
      </c>
      <c r="I10">
        <f t="shared" si="1"/>
        <v>8400</v>
      </c>
      <c r="J10">
        <v>850</v>
      </c>
      <c r="L10" s="26" t="s">
        <v>126</v>
      </c>
      <c r="M10" s="26"/>
      <c r="N10" s="26"/>
      <c r="O10" s="26"/>
      <c r="P10" s="26"/>
      <c r="Q10" s="26"/>
    </row>
    <row r="11" spans="1:17" x14ac:dyDescent="0.25">
      <c r="A11" s="1">
        <v>45319</v>
      </c>
      <c r="B11" s="1" t="str">
        <f t="shared" si="0"/>
        <v>Jan</v>
      </c>
      <c r="C11" s="1" t="s">
        <v>101</v>
      </c>
      <c r="D11" t="s">
        <v>109</v>
      </c>
      <c r="E11" t="s">
        <v>116</v>
      </c>
      <c r="F11" t="s">
        <v>104</v>
      </c>
      <c r="G11">
        <v>15</v>
      </c>
      <c r="H11">
        <v>85</v>
      </c>
      <c r="I11">
        <f t="shared" si="1"/>
        <v>1275</v>
      </c>
      <c r="J11">
        <v>42</v>
      </c>
      <c r="L11" s="11">
        <f>Q8</f>
        <v>1750</v>
      </c>
      <c r="M11" s="11">
        <v>1200</v>
      </c>
      <c r="N11" s="11">
        <v>1400</v>
      </c>
      <c r="O11" s="11">
        <v>1600</v>
      </c>
      <c r="P11" s="11">
        <v>1800</v>
      </c>
      <c r="Q11" s="11">
        <v>2000</v>
      </c>
    </row>
    <row r="12" spans="1:17" x14ac:dyDescent="0.25">
      <c r="A12" s="1">
        <v>45324</v>
      </c>
      <c r="B12" s="1" t="str">
        <f t="shared" si="0"/>
        <v>Feb</v>
      </c>
      <c r="C12" s="1" t="s">
        <v>105</v>
      </c>
      <c r="D12" t="s">
        <v>98</v>
      </c>
      <c r="E12" t="s">
        <v>106</v>
      </c>
      <c r="F12" t="s">
        <v>107</v>
      </c>
      <c r="G12">
        <v>10</v>
      </c>
      <c r="H12">
        <v>350</v>
      </c>
      <c r="I12">
        <f t="shared" si="1"/>
        <v>3500</v>
      </c>
      <c r="J12">
        <v>220</v>
      </c>
      <c r="L12" s="11">
        <v>5</v>
      </c>
      <c r="M12" s="11">
        <f t="dataTable" ref="M12:Q16" dt2D="1" dtr="1" r1="O8" r2="N8"/>
        <v>1750</v>
      </c>
      <c r="N12" s="11">
        <v>2750</v>
      </c>
      <c r="O12" s="11">
        <v>3750</v>
      </c>
      <c r="P12" s="11">
        <v>4750</v>
      </c>
      <c r="Q12" s="11">
        <v>5750</v>
      </c>
    </row>
    <row r="13" spans="1:17" x14ac:dyDescent="0.25">
      <c r="A13" s="1">
        <v>45327</v>
      </c>
      <c r="B13" s="1" t="str">
        <f t="shared" si="0"/>
        <v>Feb</v>
      </c>
      <c r="C13" s="1" t="s">
        <v>108</v>
      </c>
      <c r="D13" t="s">
        <v>102</v>
      </c>
      <c r="E13" t="s">
        <v>103</v>
      </c>
      <c r="F13" t="s">
        <v>111</v>
      </c>
      <c r="G13">
        <v>5</v>
      </c>
      <c r="H13">
        <v>450</v>
      </c>
      <c r="I13">
        <f t="shared" si="1"/>
        <v>2250</v>
      </c>
      <c r="J13">
        <v>280</v>
      </c>
      <c r="L13" s="11">
        <v>10</v>
      </c>
      <c r="M13" s="11">
        <v>7750</v>
      </c>
      <c r="N13" s="11">
        <v>9750</v>
      </c>
      <c r="O13" s="11">
        <v>11750</v>
      </c>
      <c r="P13" s="11">
        <v>13750</v>
      </c>
      <c r="Q13" s="11">
        <v>15750</v>
      </c>
    </row>
    <row r="14" spans="1:17" x14ac:dyDescent="0.25">
      <c r="A14" s="1">
        <v>45330</v>
      </c>
      <c r="B14" s="1" t="str">
        <f t="shared" si="0"/>
        <v>Feb</v>
      </c>
      <c r="C14" s="1" t="s">
        <v>97</v>
      </c>
      <c r="D14" t="s">
        <v>109</v>
      </c>
      <c r="E14" t="s">
        <v>117</v>
      </c>
      <c r="F14" t="s">
        <v>100</v>
      </c>
      <c r="G14">
        <v>100</v>
      </c>
      <c r="H14">
        <v>5</v>
      </c>
      <c r="I14">
        <f t="shared" si="1"/>
        <v>500</v>
      </c>
      <c r="J14">
        <v>2</v>
      </c>
      <c r="L14" s="11">
        <v>15</v>
      </c>
      <c r="M14" s="11">
        <v>13750</v>
      </c>
      <c r="N14" s="11">
        <v>16750</v>
      </c>
      <c r="O14" s="11">
        <v>19750</v>
      </c>
      <c r="P14" s="11">
        <v>22750</v>
      </c>
      <c r="Q14" s="11">
        <v>25750</v>
      </c>
    </row>
    <row r="15" spans="1:17" x14ac:dyDescent="0.25">
      <c r="A15" s="1">
        <v>45332</v>
      </c>
      <c r="B15" s="1" t="str">
        <f t="shared" si="0"/>
        <v>Feb</v>
      </c>
      <c r="C15" s="1" t="s">
        <v>101</v>
      </c>
      <c r="D15" t="s">
        <v>98</v>
      </c>
      <c r="E15" t="s">
        <v>99</v>
      </c>
      <c r="F15" t="s">
        <v>104</v>
      </c>
      <c r="G15">
        <v>4</v>
      </c>
      <c r="H15">
        <v>1200</v>
      </c>
      <c r="I15">
        <f t="shared" si="1"/>
        <v>4800</v>
      </c>
      <c r="J15">
        <v>850</v>
      </c>
      <c r="L15" s="11">
        <v>20</v>
      </c>
      <c r="M15" s="11">
        <v>19750</v>
      </c>
      <c r="N15" s="11">
        <v>23750</v>
      </c>
      <c r="O15" s="11">
        <v>27750</v>
      </c>
      <c r="P15" s="11">
        <v>31750</v>
      </c>
      <c r="Q15" s="11">
        <v>35750</v>
      </c>
    </row>
    <row r="16" spans="1:17" x14ac:dyDescent="0.25">
      <c r="A16" s="1">
        <v>45334</v>
      </c>
      <c r="B16" s="1" t="str">
        <f t="shared" si="0"/>
        <v>Feb</v>
      </c>
      <c r="C16" s="1" t="s">
        <v>105</v>
      </c>
      <c r="D16" t="s">
        <v>102</v>
      </c>
      <c r="E16" t="s">
        <v>112</v>
      </c>
      <c r="F16" t="s">
        <v>107</v>
      </c>
      <c r="G16">
        <v>15</v>
      </c>
      <c r="H16">
        <v>180</v>
      </c>
      <c r="I16">
        <f t="shared" si="1"/>
        <v>2700</v>
      </c>
      <c r="J16">
        <v>95</v>
      </c>
      <c r="L16" s="11">
        <v>25</v>
      </c>
      <c r="M16" s="11">
        <v>25750</v>
      </c>
      <c r="N16" s="11">
        <v>30750</v>
      </c>
      <c r="O16" s="11">
        <v>35750</v>
      </c>
      <c r="P16" s="11">
        <v>40750</v>
      </c>
      <c r="Q16" s="11">
        <v>45750</v>
      </c>
    </row>
    <row r="17" spans="1:10" x14ac:dyDescent="0.25">
      <c r="A17" s="1">
        <v>45337</v>
      </c>
      <c r="B17" s="1" t="str">
        <f t="shared" si="0"/>
        <v>Feb</v>
      </c>
      <c r="C17" s="1" t="s">
        <v>108</v>
      </c>
      <c r="D17" t="s">
        <v>98</v>
      </c>
      <c r="E17" t="s">
        <v>113</v>
      </c>
      <c r="F17" t="s">
        <v>111</v>
      </c>
      <c r="G17">
        <v>8</v>
      </c>
      <c r="H17">
        <v>550</v>
      </c>
      <c r="I17">
        <f t="shared" si="1"/>
        <v>4400</v>
      </c>
      <c r="J17">
        <v>380</v>
      </c>
    </row>
    <row r="18" spans="1:10" x14ac:dyDescent="0.25">
      <c r="A18" s="1">
        <v>45340</v>
      </c>
      <c r="B18" s="1" t="str">
        <f t="shared" si="0"/>
        <v>Feb</v>
      </c>
      <c r="C18" s="1" t="s">
        <v>97</v>
      </c>
      <c r="D18" t="s">
        <v>109</v>
      </c>
      <c r="E18" t="s">
        <v>110</v>
      </c>
      <c r="F18" t="s">
        <v>100</v>
      </c>
      <c r="G18">
        <v>3</v>
      </c>
      <c r="H18">
        <v>280</v>
      </c>
      <c r="I18">
        <f t="shared" si="1"/>
        <v>840</v>
      </c>
      <c r="J18">
        <v>180</v>
      </c>
    </row>
    <row r="19" spans="1:10" x14ac:dyDescent="0.25">
      <c r="A19" s="1">
        <v>45342</v>
      </c>
      <c r="B19" s="1" t="str">
        <f t="shared" si="0"/>
        <v>Feb</v>
      </c>
      <c r="C19" s="1" t="s">
        <v>101</v>
      </c>
      <c r="D19" t="s">
        <v>102</v>
      </c>
      <c r="E19" t="s">
        <v>115</v>
      </c>
      <c r="F19" t="s">
        <v>104</v>
      </c>
      <c r="G19">
        <v>4</v>
      </c>
      <c r="H19">
        <v>620</v>
      </c>
      <c r="I19">
        <f t="shared" si="1"/>
        <v>2480</v>
      </c>
      <c r="J19">
        <v>395</v>
      </c>
    </row>
    <row r="20" spans="1:10" x14ac:dyDescent="0.25">
      <c r="A20" s="1">
        <v>45344</v>
      </c>
      <c r="B20" s="1" t="str">
        <f t="shared" si="0"/>
        <v>Feb</v>
      </c>
      <c r="C20" s="1" t="s">
        <v>105</v>
      </c>
      <c r="D20" t="s">
        <v>98</v>
      </c>
      <c r="E20" t="s">
        <v>106</v>
      </c>
      <c r="F20" t="s">
        <v>107</v>
      </c>
      <c r="G20">
        <v>6</v>
      </c>
      <c r="H20">
        <v>4505</v>
      </c>
      <c r="I20">
        <f t="shared" si="1"/>
        <v>27030</v>
      </c>
      <c r="J20">
        <v>220</v>
      </c>
    </row>
    <row r="21" spans="1:10" x14ac:dyDescent="0.25">
      <c r="A21" s="1">
        <v>45347</v>
      </c>
      <c r="B21" s="1" t="str">
        <f t="shared" si="0"/>
        <v>Feb</v>
      </c>
      <c r="C21" s="1" t="s">
        <v>108</v>
      </c>
      <c r="D21" t="s">
        <v>109</v>
      </c>
      <c r="E21" t="s">
        <v>114</v>
      </c>
      <c r="F21" t="s">
        <v>111</v>
      </c>
      <c r="G21">
        <v>60</v>
      </c>
      <c r="H21">
        <v>25</v>
      </c>
      <c r="I21">
        <f t="shared" si="1"/>
        <v>1500</v>
      </c>
      <c r="J21">
        <v>12</v>
      </c>
    </row>
    <row r="22" spans="1:10" x14ac:dyDescent="0.25">
      <c r="A22" s="1">
        <v>45352</v>
      </c>
      <c r="B22" s="1" t="str">
        <f t="shared" si="0"/>
        <v>Mar</v>
      </c>
      <c r="C22" s="1" t="s">
        <v>97</v>
      </c>
      <c r="D22" t="s">
        <v>98</v>
      </c>
      <c r="E22" t="s">
        <v>99</v>
      </c>
      <c r="F22" t="s">
        <v>100</v>
      </c>
      <c r="G22">
        <v>9</v>
      </c>
      <c r="H22">
        <v>4351.1111111111113</v>
      </c>
      <c r="I22">
        <f t="shared" si="1"/>
        <v>39160</v>
      </c>
      <c r="J22">
        <v>850</v>
      </c>
    </row>
    <row r="23" spans="1:10" x14ac:dyDescent="0.25">
      <c r="A23" s="1">
        <v>45356</v>
      </c>
      <c r="B23" s="1" t="str">
        <f t="shared" si="0"/>
        <v>Mar</v>
      </c>
      <c r="C23" s="1" t="s">
        <v>101</v>
      </c>
      <c r="D23" t="s">
        <v>102</v>
      </c>
      <c r="E23" t="s">
        <v>103</v>
      </c>
      <c r="F23" t="s">
        <v>104</v>
      </c>
      <c r="G23">
        <v>7</v>
      </c>
      <c r="H23">
        <v>450</v>
      </c>
      <c r="I23">
        <f t="shared" si="1"/>
        <v>3150</v>
      </c>
      <c r="J23">
        <v>280</v>
      </c>
    </row>
    <row r="24" spans="1:10" x14ac:dyDescent="0.25">
      <c r="A24" s="1">
        <v>45359</v>
      </c>
      <c r="B24" s="1" t="str">
        <f t="shared" si="0"/>
        <v>Mar</v>
      </c>
      <c r="C24" s="1" t="s">
        <v>105</v>
      </c>
      <c r="D24" t="s">
        <v>109</v>
      </c>
      <c r="E24" t="s">
        <v>116</v>
      </c>
      <c r="F24" t="s">
        <v>107</v>
      </c>
      <c r="G24">
        <v>20</v>
      </c>
      <c r="H24">
        <v>85</v>
      </c>
      <c r="I24">
        <f t="shared" si="1"/>
        <v>1700</v>
      </c>
      <c r="J24">
        <v>42</v>
      </c>
    </row>
    <row r="25" spans="1:10" x14ac:dyDescent="0.25">
      <c r="A25" s="1">
        <v>45361</v>
      </c>
      <c r="B25" s="1" t="str">
        <f t="shared" si="0"/>
        <v>Mar</v>
      </c>
      <c r="C25" s="1" t="s">
        <v>108</v>
      </c>
      <c r="D25" t="s">
        <v>98</v>
      </c>
      <c r="E25" t="s">
        <v>113</v>
      </c>
      <c r="F25" t="s">
        <v>111</v>
      </c>
      <c r="G25">
        <v>5</v>
      </c>
      <c r="H25">
        <v>550</v>
      </c>
      <c r="I25">
        <f t="shared" si="1"/>
        <v>2750</v>
      </c>
      <c r="J25">
        <v>380</v>
      </c>
    </row>
    <row r="26" spans="1:10" x14ac:dyDescent="0.25">
      <c r="A26" s="1">
        <v>45366</v>
      </c>
      <c r="B26" s="1" t="str">
        <f t="shared" si="0"/>
        <v>Mar</v>
      </c>
      <c r="C26" s="1" t="s">
        <v>97</v>
      </c>
      <c r="D26" t="s">
        <v>102</v>
      </c>
      <c r="E26" t="s">
        <v>112</v>
      </c>
      <c r="F26" t="s">
        <v>100</v>
      </c>
      <c r="G26">
        <v>18</v>
      </c>
      <c r="H26">
        <v>180</v>
      </c>
      <c r="I26">
        <f t="shared" si="1"/>
        <v>3240</v>
      </c>
      <c r="J26">
        <v>95</v>
      </c>
    </row>
  </sheetData>
  <scenarios current="0" sqref="L4 M4 N4">
    <scenario name="Best" locked="1" count="2" user="PIJUSH PANDIT" comment="Created by PIJUSH PANDIT on 12-02-2026">
      <inputCells r="H2" val="0.2"/>
      <inputCells r="G2" val="0.05"/>
    </scenario>
    <scenario name="Worst" locked="1" count="2" user="PIJUSH PANDIT" comment="Created by PIJUSH PANDIT on 12-02-2026">
      <inputCells r="H2" val="-0.15"/>
      <inputCells r="G2" val="-0.1"/>
    </scenario>
    <scenario name="Most likely" locked="1" count="2" user="PIJUSH PANDIT" comment="Created by PIJUSH PANDIT on 12-02-2026">
      <inputCells r="H2" val="0.1"/>
      <inputCells r="G2" val="0"/>
    </scenario>
  </scenarios>
  <mergeCells count="4">
    <mergeCell ref="L2:N2"/>
    <mergeCell ref="L1:N1"/>
    <mergeCell ref="L10:Q10"/>
    <mergeCell ref="L6:Q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5300-DA8F-488C-8198-9E171292D0B5}">
  <dimension ref="A1:AH1048576"/>
  <sheetViews>
    <sheetView zoomScale="90" zoomScaleNormal="90" workbookViewId="0">
      <pane ySplit="1" topLeftCell="A2" activePane="bottomLeft" state="frozen"/>
      <selection pane="bottomLeft" activeCell="G16" sqref="G16"/>
    </sheetView>
  </sheetViews>
  <sheetFormatPr defaultRowHeight="15" x14ac:dyDescent="0.25"/>
  <cols>
    <col min="1" max="1" width="13.85546875" customWidth="1"/>
    <col min="2" max="2" width="9.5703125" bestFit="1" customWidth="1"/>
    <col min="3" max="3" width="19.5703125" bestFit="1" customWidth="1"/>
    <col min="4" max="4" width="10.85546875" bestFit="1" customWidth="1"/>
    <col min="5" max="5" width="13.28515625" bestFit="1" customWidth="1"/>
    <col min="6" max="6" width="12.85546875" bestFit="1" customWidth="1"/>
    <col min="7" max="7" width="12.42578125" bestFit="1" customWidth="1"/>
    <col min="8" max="8" width="18" customWidth="1"/>
    <col min="9" max="9" width="18.42578125" customWidth="1"/>
    <col min="10" max="10" width="11.28515625" customWidth="1"/>
    <col min="11" max="11" width="10.85546875" customWidth="1"/>
    <col min="12" max="13" width="12.28515625" customWidth="1"/>
    <col min="14" max="14" width="14.7109375" bestFit="1" customWidth="1"/>
    <col min="15" max="15" width="35.140625" bestFit="1" customWidth="1"/>
    <col min="16" max="16" width="22.7109375" bestFit="1" customWidth="1"/>
    <col min="17" max="17" width="35" customWidth="1"/>
    <col min="18" max="18" width="43.140625" customWidth="1"/>
    <col min="19" max="19" width="26.140625" customWidth="1"/>
    <col min="20" max="20" width="17.7109375" customWidth="1"/>
    <col min="27" max="27" width="19" customWidth="1"/>
    <col min="28" max="28" width="22.5703125" customWidth="1"/>
    <col min="29" max="29" width="10.28515625" customWidth="1"/>
    <col min="30" max="30" width="25.140625" customWidth="1"/>
    <col min="31" max="31" width="13.7109375" customWidth="1"/>
    <col min="32" max="32" width="21.85546875" customWidth="1"/>
    <col min="33" max="33" width="15.85546875" customWidth="1"/>
    <col min="34" max="34" width="24.85546875" customWidth="1"/>
  </cols>
  <sheetData>
    <row r="1" spans="1:34" x14ac:dyDescent="0.25">
      <c r="A1" t="s">
        <v>2</v>
      </c>
      <c r="B1" t="s">
        <v>1</v>
      </c>
      <c r="C1" t="s">
        <v>3</v>
      </c>
      <c r="D1" t="s">
        <v>4</v>
      </c>
      <c r="E1" t="s">
        <v>0</v>
      </c>
      <c r="F1" t="s">
        <v>5</v>
      </c>
      <c r="G1" t="s">
        <v>6</v>
      </c>
      <c r="H1" t="s">
        <v>7</v>
      </c>
      <c r="I1" t="s">
        <v>8</v>
      </c>
      <c r="J1" t="s">
        <v>9</v>
      </c>
      <c r="K1" t="s">
        <v>10</v>
      </c>
      <c r="L1" t="s">
        <v>11</v>
      </c>
      <c r="M1" t="s">
        <v>16</v>
      </c>
      <c r="N1" t="s">
        <v>29</v>
      </c>
      <c r="O1" t="s">
        <v>30</v>
      </c>
      <c r="P1" t="s">
        <v>12</v>
      </c>
      <c r="Q1" t="s">
        <v>31</v>
      </c>
      <c r="R1" t="s">
        <v>32</v>
      </c>
      <c r="S1" t="s">
        <v>19</v>
      </c>
      <c r="T1" t="s">
        <v>21</v>
      </c>
      <c r="U1" t="s">
        <v>65</v>
      </c>
      <c r="V1" t="s">
        <v>66</v>
      </c>
      <c r="AA1" t="s">
        <v>60</v>
      </c>
      <c r="AB1" t="s">
        <v>61</v>
      </c>
      <c r="AC1" s="27" t="s">
        <v>63</v>
      </c>
      <c r="AD1" s="27"/>
      <c r="AE1" s="3"/>
      <c r="AF1" t="s">
        <v>64</v>
      </c>
      <c r="AG1" s="27" t="s">
        <v>62</v>
      </c>
      <c r="AH1" s="27"/>
    </row>
    <row r="2" spans="1:34" x14ac:dyDescent="0.25">
      <c r="A2" s="1">
        <v>45296</v>
      </c>
      <c r="B2" s="2" t="s">
        <v>23</v>
      </c>
      <c r="C2" s="2" t="s">
        <v>24</v>
      </c>
      <c r="D2" s="2" t="s">
        <v>33</v>
      </c>
      <c r="E2" s="2" t="s">
        <v>34</v>
      </c>
      <c r="F2">
        <v>5</v>
      </c>
      <c r="G2">
        <v>1200</v>
      </c>
      <c r="H2">
        <v>6000</v>
      </c>
      <c r="I2">
        <v>850</v>
      </c>
      <c r="J2">
        <v>1750</v>
      </c>
      <c r="K2" t="s">
        <v>13</v>
      </c>
      <c r="L2">
        <v>2024</v>
      </c>
      <c r="M2" t="str">
        <f>"Q"&amp;ROUNDUP(MONTH(Sales_Data[[#This Row],[Date]])/3,0)</f>
        <v>Q1</v>
      </c>
      <c r="N2">
        <v>29</v>
      </c>
      <c r="O2">
        <v>0.08</v>
      </c>
      <c r="P2">
        <v>480</v>
      </c>
      <c r="Q2">
        <f t="shared" ref="Q2:Q26" si="0">SUMIFS($H:$H,$B:$B,B2,$K:$K,K2)</f>
        <v>16560</v>
      </c>
      <c r="R2">
        <f t="shared" ref="R2:R26" si="1">SUMIFS($J:$J,$C:$C,C2,$M:$M,M2)</f>
        <v>15100</v>
      </c>
      <c r="S2">
        <f>Sales_Data[[#This Row],[Total_Revenue]]*Sales_Data[[#This Row],[Sales_Rep_Info.Commission_Rate]]</f>
        <v>480</v>
      </c>
      <c r="T2" s="2">
        <f>INDEX(Sales_Targets!$C:$C,MATCH(Sales_Data[[#This Row],[Product_Category]],Sales_Targets!$D:$D,0),MATCH(Sales_Data[[#Headers],[Target_Revenue]],Sales_Targets[[#Headers],[Target_Revenue]],0))</f>
        <v>15000</v>
      </c>
      <c r="U2" s="2" t="str" cm="1">
        <f t="array" ref="U2">_xlfn.IFS(Sales_Data[[#This Row],[Total_Revenue]]&gt;5000, "High",Sales_Data[[#This Row],[Total_Revenue]]&gt;=1000, "Medium", Sales_Data[[#This Row],[Total_Revenue]]&lt;1000, "Low")</f>
        <v>High</v>
      </c>
      <c r="V2" s="2" t="str">
        <f>IF(Sales_Data[[#This Row],[Target_Revenue]]/Sales_Data[[#This Row],[Total_Revenue]]&gt;0.8, "Flag", "Thresold")</f>
        <v>Flag</v>
      </c>
      <c r="W2" s="2"/>
      <c r="X2" s="2"/>
      <c r="Y2" s="2"/>
      <c r="AA2" t="str" cm="1">
        <f t="array" ref="AA2:AA11">_xlfn.UNIQUE(Sales_Data[Product])</f>
        <v>Laptop</v>
      </c>
      <c r="AB2">
        <f>SUMIFS(Sales_Data[Total_Revenue],Sales_Data[Product],AA2)</f>
        <v>30000</v>
      </c>
      <c r="AC2" t="str" cm="1">
        <f t="array" ref="AC2:AD4">_xlfn.TAKE(_xlfn._xlws.SORT(AA2:AB11,2,-1),3)</f>
        <v>Laptop</v>
      </c>
      <c r="AD2">
        <v>30000</v>
      </c>
      <c r="AF2">
        <f>AVERAGEIFS(Sales_Data[ProfitMargin],Sales_Data[Product],AA2)</f>
        <v>29</v>
      </c>
      <c r="AG2" t="str" cm="1">
        <f t="array" ref="AG2:AH4">_xlfn.TAKE(_xlfn._xlws.SORT(AA2:AB11,2,1),3)</f>
        <v>Pens</v>
      </c>
      <c r="AH2">
        <v>500</v>
      </c>
    </row>
    <row r="3" spans="1:34" x14ac:dyDescent="0.25">
      <c r="A3" s="1">
        <v>45299</v>
      </c>
      <c r="B3" s="2" t="s">
        <v>27</v>
      </c>
      <c r="C3" s="2" t="s">
        <v>25</v>
      </c>
      <c r="D3" s="2" t="s">
        <v>35</v>
      </c>
      <c r="E3" s="2" t="s">
        <v>36</v>
      </c>
      <c r="F3">
        <v>3</v>
      </c>
      <c r="G3">
        <v>450</v>
      </c>
      <c r="H3">
        <v>1350</v>
      </c>
      <c r="I3">
        <v>280</v>
      </c>
      <c r="J3">
        <v>510</v>
      </c>
      <c r="K3" t="s">
        <v>13</v>
      </c>
      <c r="L3">
        <v>2024</v>
      </c>
      <c r="M3" t="str">
        <f>"Q"&amp;ROUNDUP(MONTH(Sales_Data[[#This Row],[Date]])/3,0)</f>
        <v>Q1</v>
      </c>
      <c r="N3">
        <v>38</v>
      </c>
      <c r="O3">
        <v>0.09</v>
      </c>
      <c r="P3">
        <v>121.5</v>
      </c>
      <c r="Q3">
        <f t="shared" si="0"/>
        <v>5925</v>
      </c>
      <c r="R3">
        <f t="shared" si="1"/>
        <v>7725</v>
      </c>
      <c r="S3">
        <f>Sales_Data[[#This Row],[Total_Revenue]]*Sales_Data[[#This Row],[Sales_Rep_Info.Commission_Rate]]</f>
        <v>121.5</v>
      </c>
      <c r="T3" s="2">
        <f>INDEX(Sales_Targets!$C:$C,MATCH(Sales_Data[[#This Row],[Product_Category]],Sales_Targets!$D:$D,0),MATCH(Sales_Data[[#Headers],[Target_Revenue]],Sales_Targets[[#Headers],[Target_Revenue]],0))</f>
        <v>8000</v>
      </c>
      <c r="U3" s="2" t="str" cm="1">
        <f t="array" ref="U3">_xlfn.IFS(Sales_Data[[#This Row],[Total_Revenue]]&gt;5000, "High",Sales_Data[[#This Row],[Total_Revenue]]&gt;=1000, "Medium", Sales_Data[[#This Row],[Total_Revenue]]&lt;1000, "Low")</f>
        <v>Medium</v>
      </c>
      <c r="V3" s="2" t="str">
        <f>IF(Sales_Data[[#This Row],[Target_Revenue]]/Sales_Data[[#This Row],[Total_Revenue]]&gt;0.8, "Flag", "Thresold")</f>
        <v>Flag</v>
      </c>
      <c r="W3" s="2"/>
      <c r="X3" s="2"/>
      <c r="Y3" s="2"/>
      <c r="AA3" t="str">
        <v>Desk</v>
      </c>
      <c r="AB3">
        <f>SUMIFS(Sales_Data[Total_Revenue],Sales_Data[Product],AA3)</f>
        <v>6750</v>
      </c>
      <c r="AC3" t="str">
        <v>Tablet</v>
      </c>
      <c r="AD3">
        <v>10450</v>
      </c>
      <c r="AF3">
        <f>AVERAGEIFS(Sales_Data[ProfitMargin],Sales_Data[Product],AA3)</f>
        <v>38</v>
      </c>
      <c r="AG3" t="str">
        <v>Printer</v>
      </c>
      <c r="AH3">
        <v>1960</v>
      </c>
    </row>
    <row r="4" spans="1:34" x14ac:dyDescent="0.25">
      <c r="A4" s="1">
        <v>45301</v>
      </c>
      <c r="B4" s="2" t="s">
        <v>20</v>
      </c>
      <c r="C4" s="2" t="s">
        <v>24</v>
      </c>
      <c r="D4" s="2" t="s">
        <v>37</v>
      </c>
      <c r="E4" s="2" t="s">
        <v>38</v>
      </c>
      <c r="F4">
        <v>8</v>
      </c>
      <c r="G4">
        <v>350</v>
      </c>
      <c r="H4">
        <v>2800</v>
      </c>
      <c r="I4">
        <v>220</v>
      </c>
      <c r="J4">
        <v>1040</v>
      </c>
      <c r="K4" t="s">
        <v>13</v>
      </c>
      <c r="L4">
        <v>2024</v>
      </c>
      <c r="M4" t="str">
        <f>"Q"&amp;ROUNDUP(MONTH(Sales_Data[[#This Row],[Date]])/3,0)</f>
        <v>Q1</v>
      </c>
      <c r="N4">
        <v>37</v>
      </c>
      <c r="O4">
        <v>7.0000000000000007E-2</v>
      </c>
      <c r="P4">
        <v>196.00000000000003</v>
      </c>
      <c r="Q4">
        <f t="shared" si="0"/>
        <v>4050</v>
      </c>
      <c r="R4">
        <f t="shared" si="1"/>
        <v>15100</v>
      </c>
      <c r="S4">
        <f>Sales_Data[[#This Row],[Total_Revenue]]*Sales_Data[[#This Row],[Sales_Rep_Info.Commission_Rate]]</f>
        <v>196.00000000000003</v>
      </c>
      <c r="T4" s="2">
        <f>INDEX(Sales_Targets!$C:$C,MATCH(Sales_Data[[#This Row],[Product_Category]],Sales_Targets!$D:$D,0),MATCH(Sales_Data[[#Headers],[Target_Revenue]],Sales_Targets[[#Headers],[Target_Revenue]],0))</f>
        <v>15000</v>
      </c>
      <c r="U4" s="2" t="str" cm="1">
        <f t="array" ref="U4">_xlfn.IFS(Sales_Data[[#This Row],[Total_Revenue]]&gt;5000, "High",Sales_Data[[#This Row],[Total_Revenue]]&gt;=1000, "Medium", Sales_Data[[#This Row],[Total_Revenue]]&lt;1000, "Low")</f>
        <v>Medium</v>
      </c>
      <c r="V4" s="2" t="str">
        <f>IF(Sales_Data[[#This Row],[Target_Revenue]]/Sales_Data[[#This Row],[Total_Revenue]]&gt;0.8, "Flag", "Thresold")</f>
        <v>Flag</v>
      </c>
      <c r="W4" s="2"/>
      <c r="X4" s="2"/>
      <c r="Y4" s="2"/>
      <c r="AA4" t="str">
        <v>Monitor</v>
      </c>
      <c r="AB4">
        <f>SUMIFS(Sales_Data[Total_Revenue],Sales_Data[Product],AA4)</f>
        <v>8400</v>
      </c>
      <c r="AC4" t="str">
        <v>Monitor</v>
      </c>
      <c r="AD4">
        <v>8400</v>
      </c>
      <c r="AF4">
        <f>AVERAGEIFS(Sales_Data[ProfitMargin],Sales_Data[Product],AA4)</f>
        <v>37</v>
      </c>
      <c r="AG4" t="str">
        <v>Paper</v>
      </c>
      <c r="AH4">
        <v>2750</v>
      </c>
    </row>
    <row r="5" spans="1:34" x14ac:dyDescent="0.25">
      <c r="A5" s="1">
        <v>45303</v>
      </c>
      <c r="B5" s="2" t="s">
        <v>28</v>
      </c>
      <c r="C5" s="2" t="s">
        <v>26</v>
      </c>
      <c r="D5" s="2" t="s">
        <v>39</v>
      </c>
      <c r="E5" s="2" t="s">
        <v>40</v>
      </c>
      <c r="F5">
        <v>4</v>
      </c>
      <c r="G5">
        <v>280</v>
      </c>
      <c r="H5">
        <v>1120</v>
      </c>
      <c r="I5">
        <v>180</v>
      </c>
      <c r="J5">
        <v>400</v>
      </c>
      <c r="K5" t="s">
        <v>13</v>
      </c>
      <c r="L5">
        <v>2024</v>
      </c>
      <c r="M5" t="str">
        <f>"Q"&amp;ROUNDUP(MONTH(Sales_Data[[#This Row],[Date]])/3,0)</f>
        <v>Q1</v>
      </c>
      <c r="N5">
        <v>36</v>
      </c>
      <c r="O5">
        <v>0.08</v>
      </c>
      <c r="P5">
        <v>89.600000000000009</v>
      </c>
      <c r="Q5">
        <f t="shared" si="0"/>
        <v>2360</v>
      </c>
      <c r="R5">
        <f t="shared" si="1"/>
        <v>3935</v>
      </c>
      <c r="S5">
        <f>Sales_Data[[#This Row],[Total_Revenue]]*Sales_Data[[#This Row],[Sales_Rep_Info.Commission_Rate]]</f>
        <v>89.600000000000009</v>
      </c>
      <c r="T5" s="2">
        <f>INDEX(Sales_Targets!$C:$C,MATCH(Sales_Data[[#This Row],[Product_Category]],Sales_Targets!$D:$D,0),MATCH(Sales_Data[[#Headers],[Target_Revenue]],Sales_Targets[[#Headers],[Target_Revenue]],0))</f>
        <v>3000</v>
      </c>
      <c r="U5" s="2" t="str" cm="1">
        <f t="array" ref="U5">_xlfn.IFS(Sales_Data[[#This Row],[Total_Revenue]]&gt;5000, "High",Sales_Data[[#This Row],[Total_Revenue]]&gt;=1000, "Medium", Sales_Data[[#This Row],[Total_Revenue]]&lt;1000, "Low")</f>
        <v>Medium</v>
      </c>
      <c r="V5" s="2" t="str">
        <f>IF(Sales_Data[[#This Row],[Target_Revenue]]/Sales_Data[[#This Row],[Total_Revenue]]&gt;0.8, "Flag", "Thresold")</f>
        <v>Flag</v>
      </c>
      <c r="W5" s="2"/>
      <c r="X5" s="2"/>
      <c r="Y5" s="2"/>
      <c r="AA5" t="str">
        <v>Printer</v>
      </c>
      <c r="AB5">
        <f>SUMIFS(Sales_Data[Total_Revenue],Sales_Data[Product],AA5)</f>
        <v>1960</v>
      </c>
      <c r="AF5">
        <f>AVERAGEIFS(Sales_Data[ProfitMargin],Sales_Data[Product],AA5)</f>
        <v>36</v>
      </c>
    </row>
    <row r="6" spans="1:34" x14ac:dyDescent="0.25">
      <c r="A6" s="1">
        <v>45306</v>
      </c>
      <c r="B6" s="2" t="s">
        <v>23</v>
      </c>
      <c r="C6" s="2" t="s">
        <v>25</v>
      </c>
      <c r="D6" s="2" t="s">
        <v>41</v>
      </c>
      <c r="E6" s="2" t="s">
        <v>34</v>
      </c>
      <c r="F6">
        <v>12</v>
      </c>
      <c r="G6">
        <v>180</v>
      </c>
      <c r="H6">
        <v>2160</v>
      </c>
      <c r="I6">
        <v>95</v>
      </c>
      <c r="J6">
        <v>1020</v>
      </c>
      <c r="K6" t="s">
        <v>13</v>
      </c>
      <c r="L6">
        <v>2024</v>
      </c>
      <c r="M6" t="str">
        <f>"Q"&amp;ROUNDUP(MONTH(Sales_Data[[#This Row],[Date]])/3,0)</f>
        <v>Q1</v>
      </c>
      <c r="N6">
        <v>47</v>
      </c>
      <c r="O6">
        <v>0.08</v>
      </c>
      <c r="P6">
        <v>172.8</v>
      </c>
      <c r="Q6">
        <f t="shared" si="0"/>
        <v>16560</v>
      </c>
      <c r="R6">
        <f t="shared" si="1"/>
        <v>7725</v>
      </c>
      <c r="S6">
        <f>Sales_Data[[#This Row],[Total_Revenue]]*Sales_Data[[#This Row],[Sales_Rep_Info.Commission_Rate]]</f>
        <v>172.8</v>
      </c>
      <c r="T6" s="2">
        <f>INDEX(Sales_Targets!$C:$C,MATCH(Sales_Data[[#This Row],[Product_Category]],Sales_Targets!$D:$D,0),MATCH(Sales_Data[[#Headers],[Target_Revenue]],Sales_Targets[[#Headers],[Target_Revenue]],0))</f>
        <v>8000</v>
      </c>
      <c r="U6" s="2" t="str" cm="1">
        <f t="array" ref="U6">_xlfn.IFS(Sales_Data[[#This Row],[Total_Revenue]]&gt;5000, "High",Sales_Data[[#This Row],[Total_Revenue]]&gt;=1000, "Medium", Sales_Data[[#This Row],[Total_Revenue]]&lt;1000, "Low")</f>
        <v>Medium</v>
      </c>
      <c r="V6" s="2" t="str">
        <f>IF(Sales_Data[[#This Row],[Target_Revenue]]/Sales_Data[[#This Row],[Total_Revenue]]&gt;0.8, "Flag", "Thresold")</f>
        <v>Flag</v>
      </c>
      <c r="W6" s="2"/>
      <c r="X6" s="2"/>
      <c r="Y6" s="2"/>
      <c r="AA6" t="str">
        <v>Chair</v>
      </c>
      <c r="AB6">
        <f>SUMIFS(Sales_Data[Total_Revenue],Sales_Data[Product],AA6)</f>
        <v>8100</v>
      </c>
      <c r="AF6">
        <f>AVERAGEIFS(Sales_Data[ProfitMargin],Sales_Data[Product],AA6)</f>
        <v>47</v>
      </c>
    </row>
    <row r="7" spans="1:34" x14ac:dyDescent="0.25">
      <c r="A7" s="1">
        <v>45309</v>
      </c>
      <c r="B7" s="2" t="s">
        <v>27</v>
      </c>
      <c r="C7" s="2" t="s">
        <v>24</v>
      </c>
      <c r="D7" s="2" t="s">
        <v>42</v>
      </c>
      <c r="E7" s="2" t="s">
        <v>36</v>
      </c>
      <c r="F7">
        <v>6</v>
      </c>
      <c r="G7">
        <v>550</v>
      </c>
      <c r="H7">
        <v>3300</v>
      </c>
      <c r="I7">
        <v>380</v>
      </c>
      <c r="J7">
        <v>1020</v>
      </c>
      <c r="K7" t="s">
        <v>13</v>
      </c>
      <c r="L7">
        <v>2024</v>
      </c>
      <c r="M7" t="str">
        <f>"Q"&amp;ROUNDUP(MONTH(Sales_Data[[#This Row],[Date]])/3,0)</f>
        <v>Q1</v>
      </c>
      <c r="N7">
        <v>31</v>
      </c>
      <c r="O7">
        <v>0.09</v>
      </c>
      <c r="P7">
        <v>297</v>
      </c>
      <c r="Q7">
        <f t="shared" si="0"/>
        <v>5925</v>
      </c>
      <c r="R7">
        <f t="shared" si="1"/>
        <v>15100</v>
      </c>
      <c r="S7">
        <f>Sales_Data[[#This Row],[Total_Revenue]]*Sales_Data[[#This Row],[Sales_Rep_Info.Commission_Rate]]</f>
        <v>297</v>
      </c>
      <c r="T7" s="2">
        <f>INDEX(Sales_Targets!$C:$C,MATCH(Sales_Data[[#This Row],[Product_Category]],Sales_Targets!$D:$D,0),MATCH(Sales_Data[[#Headers],[Target_Revenue]],Sales_Targets[[#Headers],[Target_Revenue]],0))</f>
        <v>15000</v>
      </c>
      <c r="U7" s="2" t="str" cm="1">
        <f t="array" ref="U7">_xlfn.IFS(Sales_Data[[#This Row],[Total_Revenue]]&gt;5000, "High",Sales_Data[[#This Row],[Total_Revenue]]&gt;=1000, "Medium", Sales_Data[[#This Row],[Total_Revenue]]&lt;1000, "Low")</f>
        <v>Medium</v>
      </c>
      <c r="V7" s="2" t="str">
        <f>IF(Sales_Data[[#This Row],[Target_Revenue]]/Sales_Data[[#This Row],[Total_Revenue]]&gt;0.8, "Flag", "Thresold")</f>
        <v>Flag</v>
      </c>
      <c r="W7" s="2"/>
      <c r="X7" s="2"/>
      <c r="Y7" s="2"/>
      <c r="AA7" t="str">
        <v>Tablet</v>
      </c>
      <c r="AB7">
        <f>SUMIFS(Sales_Data[Total_Revenue],Sales_Data[Product],AA7)</f>
        <v>10450</v>
      </c>
      <c r="AF7">
        <f>AVERAGEIFS(Sales_Data[ProfitMargin],Sales_Data[Product],AA7)</f>
        <v>31</v>
      </c>
    </row>
    <row r="8" spans="1:34" x14ac:dyDescent="0.25">
      <c r="A8" s="1">
        <v>45311</v>
      </c>
      <c r="B8" s="2" t="s">
        <v>20</v>
      </c>
      <c r="C8" s="2" t="s">
        <v>26</v>
      </c>
      <c r="D8" s="2" t="s">
        <v>43</v>
      </c>
      <c r="E8" s="2" t="s">
        <v>38</v>
      </c>
      <c r="F8">
        <v>50</v>
      </c>
      <c r="G8">
        <v>25</v>
      </c>
      <c r="H8">
        <v>1250</v>
      </c>
      <c r="I8">
        <v>12</v>
      </c>
      <c r="J8">
        <v>650</v>
      </c>
      <c r="K8" t="s">
        <v>13</v>
      </c>
      <c r="L8">
        <v>2024</v>
      </c>
      <c r="M8" t="str">
        <f>"Q"&amp;ROUNDUP(MONTH(Sales_Data[[#This Row],[Date]])/3,0)</f>
        <v>Q1</v>
      </c>
      <c r="N8">
        <v>52</v>
      </c>
      <c r="O8">
        <v>7.0000000000000007E-2</v>
      </c>
      <c r="P8">
        <v>87.500000000000014</v>
      </c>
      <c r="Q8">
        <f t="shared" si="0"/>
        <v>4050</v>
      </c>
      <c r="R8">
        <f t="shared" si="1"/>
        <v>3935</v>
      </c>
      <c r="S8">
        <f>Sales_Data[[#This Row],[Total_Revenue]]*Sales_Data[[#This Row],[Sales_Rep_Info.Commission_Rate]]</f>
        <v>87.500000000000014</v>
      </c>
      <c r="T8" s="2">
        <f>INDEX(Sales_Targets!$C:$C,MATCH(Sales_Data[[#This Row],[Product_Category]],Sales_Targets!$D:$D,0),MATCH(Sales_Data[[#Headers],[Target_Revenue]],Sales_Targets[[#Headers],[Target_Revenue]],0))</f>
        <v>3000</v>
      </c>
      <c r="U8" s="2" t="str" cm="1">
        <f t="array" ref="U8">_xlfn.IFS(Sales_Data[[#This Row],[Total_Revenue]]&gt;5000, "High",Sales_Data[[#This Row],[Total_Revenue]]&gt;=1000, "Medium", Sales_Data[[#This Row],[Total_Revenue]]&lt;1000, "Low")</f>
        <v>Medium</v>
      </c>
      <c r="V8" s="2" t="str">
        <f>IF(Sales_Data[[#This Row],[Target_Revenue]]/Sales_Data[[#This Row],[Total_Revenue]]&gt;0.8, "Flag", "Thresold")</f>
        <v>Flag</v>
      </c>
      <c r="W8" s="2"/>
      <c r="X8" s="2"/>
      <c r="Y8" s="2"/>
      <c r="AA8" t="str">
        <v>Paper</v>
      </c>
      <c r="AB8">
        <f>SUMIFS(Sales_Data[Total_Revenue],Sales_Data[Product],AA8)</f>
        <v>2750</v>
      </c>
      <c r="AF8">
        <f>AVERAGEIFS(Sales_Data[ProfitMargin],Sales_Data[Product],AA8)</f>
        <v>52</v>
      </c>
    </row>
    <row r="9" spans="1:34" x14ac:dyDescent="0.25">
      <c r="A9" s="1">
        <v>45313</v>
      </c>
      <c r="B9" s="2" t="s">
        <v>28</v>
      </c>
      <c r="C9" s="2" t="s">
        <v>25</v>
      </c>
      <c r="D9" s="2" t="s">
        <v>44</v>
      </c>
      <c r="E9" s="2" t="s">
        <v>40</v>
      </c>
      <c r="F9">
        <v>2</v>
      </c>
      <c r="G9">
        <v>620</v>
      </c>
      <c r="H9">
        <v>1240</v>
      </c>
      <c r="I9">
        <v>395</v>
      </c>
      <c r="J9">
        <v>450</v>
      </c>
      <c r="K9" t="s">
        <v>13</v>
      </c>
      <c r="L9">
        <v>2024</v>
      </c>
      <c r="M9" t="str">
        <f>"Q"&amp;ROUNDUP(MONTH(Sales_Data[[#This Row],[Date]])/3,0)</f>
        <v>Q1</v>
      </c>
      <c r="N9">
        <v>36</v>
      </c>
      <c r="O9">
        <v>0.08</v>
      </c>
      <c r="P9">
        <v>99.2</v>
      </c>
      <c r="Q9">
        <f t="shared" si="0"/>
        <v>2360</v>
      </c>
      <c r="R9">
        <f t="shared" si="1"/>
        <v>7725</v>
      </c>
      <c r="S9">
        <f>Sales_Data[[#This Row],[Total_Revenue]]*Sales_Data[[#This Row],[Sales_Rep_Info.Commission_Rate]]</f>
        <v>99.2</v>
      </c>
      <c r="T9" s="2">
        <f>INDEX(Sales_Targets!$C:$C,MATCH(Sales_Data[[#This Row],[Product_Category]],Sales_Targets!$D:$D,0),MATCH(Sales_Data[[#Headers],[Target_Revenue]],Sales_Targets[[#Headers],[Target_Revenue]],0))</f>
        <v>8000</v>
      </c>
      <c r="U9" s="2" t="str" cm="1">
        <f t="array" ref="U9">_xlfn.IFS(Sales_Data[[#This Row],[Total_Revenue]]&gt;5000, "High",Sales_Data[[#This Row],[Total_Revenue]]&gt;=1000, "Medium", Sales_Data[[#This Row],[Total_Revenue]]&lt;1000, "Low")</f>
        <v>Medium</v>
      </c>
      <c r="V9" s="2" t="str">
        <f>IF(Sales_Data[[#This Row],[Target_Revenue]]/Sales_Data[[#This Row],[Total_Revenue]]&gt;0.8, "Flag", "Thresold")</f>
        <v>Flag</v>
      </c>
      <c r="W9" s="2"/>
      <c r="X9" s="2"/>
      <c r="Y9" s="2"/>
      <c r="AA9" t="str">
        <v>Cabinet</v>
      </c>
      <c r="AB9">
        <f>SUMIFS(Sales_Data[Total_Revenue],Sales_Data[Product],AA9)</f>
        <v>3720</v>
      </c>
      <c r="AF9">
        <f>AVERAGEIFS(Sales_Data[ProfitMargin],Sales_Data[Product],AA9)</f>
        <v>36</v>
      </c>
    </row>
    <row r="10" spans="1:34" x14ac:dyDescent="0.25">
      <c r="A10" s="1">
        <v>45316</v>
      </c>
      <c r="B10" s="2" t="s">
        <v>23</v>
      </c>
      <c r="C10" s="2" t="s">
        <v>24</v>
      </c>
      <c r="D10" s="2" t="s">
        <v>33</v>
      </c>
      <c r="E10" s="2" t="s">
        <v>34</v>
      </c>
      <c r="F10">
        <v>7</v>
      </c>
      <c r="G10">
        <v>1200</v>
      </c>
      <c r="H10">
        <v>8400</v>
      </c>
      <c r="I10">
        <v>850</v>
      </c>
      <c r="J10">
        <v>2450</v>
      </c>
      <c r="K10" t="s">
        <v>13</v>
      </c>
      <c r="L10">
        <v>2024</v>
      </c>
      <c r="M10" t="str">
        <f>"Q"&amp;ROUNDUP(MONTH(Sales_Data[[#This Row],[Date]])/3,0)</f>
        <v>Q1</v>
      </c>
      <c r="N10">
        <v>29</v>
      </c>
      <c r="O10">
        <v>0.08</v>
      </c>
      <c r="P10">
        <v>672</v>
      </c>
      <c r="Q10">
        <f t="shared" si="0"/>
        <v>16560</v>
      </c>
      <c r="R10">
        <f t="shared" si="1"/>
        <v>15100</v>
      </c>
      <c r="S10">
        <f>Sales_Data[[#This Row],[Total_Revenue]]*Sales_Data[[#This Row],[Sales_Rep_Info.Commission_Rate]]</f>
        <v>672</v>
      </c>
      <c r="T10" s="2">
        <f>INDEX(Sales_Targets!$C:$C,MATCH(Sales_Data[[#This Row],[Product_Category]],Sales_Targets!$D:$D,0),MATCH(Sales_Data[[#Headers],[Target_Revenue]],Sales_Targets[[#Headers],[Target_Revenue]],0))</f>
        <v>15000</v>
      </c>
      <c r="U10" s="2" t="str" cm="1">
        <f t="array" ref="U10">_xlfn.IFS(Sales_Data[[#This Row],[Total_Revenue]]&gt;5000, "High",Sales_Data[[#This Row],[Total_Revenue]]&gt;=1000, "Medium", Sales_Data[[#This Row],[Total_Revenue]]&lt;1000, "Low")</f>
        <v>High</v>
      </c>
      <c r="V10" s="2" t="str">
        <f>IF(Sales_Data[[#This Row],[Target_Revenue]]/Sales_Data[[#This Row],[Total_Revenue]]&gt;0.8, "Flag", "Thresold")</f>
        <v>Flag</v>
      </c>
      <c r="W10" s="2"/>
      <c r="X10" s="2"/>
      <c r="Y10" s="2"/>
      <c r="AA10" t="str">
        <v>Toner</v>
      </c>
      <c r="AB10">
        <f>SUMIFS(Sales_Data[Total_Revenue],Sales_Data[Product],AA10)</f>
        <v>2975</v>
      </c>
      <c r="AF10">
        <f>AVERAGEIFS(Sales_Data[ProfitMargin],Sales_Data[Product],AA10)</f>
        <v>51</v>
      </c>
    </row>
    <row r="11" spans="1:34" x14ac:dyDescent="0.25">
      <c r="A11" s="1">
        <v>45319</v>
      </c>
      <c r="B11" s="2" t="s">
        <v>27</v>
      </c>
      <c r="C11" s="2" t="s">
        <v>26</v>
      </c>
      <c r="D11" s="2" t="s">
        <v>45</v>
      </c>
      <c r="E11" s="2" t="s">
        <v>36</v>
      </c>
      <c r="F11">
        <v>15</v>
      </c>
      <c r="G11">
        <v>85</v>
      </c>
      <c r="H11">
        <v>1275</v>
      </c>
      <c r="I11">
        <v>42</v>
      </c>
      <c r="J11">
        <v>645</v>
      </c>
      <c r="K11" t="s">
        <v>13</v>
      </c>
      <c r="L11">
        <v>2024</v>
      </c>
      <c r="M11" t="str">
        <f>"Q"&amp;ROUNDUP(MONTH(Sales_Data[[#This Row],[Date]])/3,0)</f>
        <v>Q1</v>
      </c>
      <c r="N11">
        <v>51</v>
      </c>
      <c r="O11">
        <v>0.09</v>
      </c>
      <c r="P11">
        <v>114.75</v>
      </c>
      <c r="Q11">
        <f t="shared" si="0"/>
        <v>5925</v>
      </c>
      <c r="R11">
        <f t="shared" si="1"/>
        <v>3935</v>
      </c>
      <c r="S11">
        <f>Sales_Data[[#This Row],[Total_Revenue]]*Sales_Data[[#This Row],[Sales_Rep_Info.Commission_Rate]]</f>
        <v>114.75</v>
      </c>
      <c r="T11" s="2">
        <f>INDEX(Sales_Targets!$C:$C,MATCH(Sales_Data[[#This Row],[Product_Category]],Sales_Targets!$D:$D,0),MATCH(Sales_Data[[#Headers],[Target_Revenue]],Sales_Targets[[#Headers],[Target_Revenue]],0))</f>
        <v>3000</v>
      </c>
      <c r="U11" s="2" t="str" cm="1">
        <f t="array" ref="U11">_xlfn.IFS(Sales_Data[[#This Row],[Total_Revenue]]&gt;5000, "High",Sales_Data[[#This Row],[Total_Revenue]]&gt;=1000, "Medium", Sales_Data[[#This Row],[Total_Revenue]]&lt;1000, "Low")</f>
        <v>Medium</v>
      </c>
      <c r="V11" s="2" t="str">
        <f>IF(Sales_Data[[#This Row],[Target_Revenue]]/Sales_Data[[#This Row],[Total_Revenue]]&gt;0.8, "Flag", "Thresold")</f>
        <v>Flag</v>
      </c>
      <c r="W11" s="2"/>
      <c r="X11" s="2"/>
      <c r="Y11" s="2"/>
      <c r="AA11" t="str">
        <v>Pens</v>
      </c>
      <c r="AB11">
        <f>SUMIFS(Sales_Data[Total_Revenue],Sales_Data[Product],AA11)</f>
        <v>500</v>
      </c>
      <c r="AF11">
        <f>AVERAGEIFS(Sales_Data[ProfitMargin],Sales_Data[Product],AA11)</f>
        <v>60</v>
      </c>
    </row>
    <row r="12" spans="1:34" x14ac:dyDescent="0.25">
      <c r="A12" s="1">
        <v>45324</v>
      </c>
      <c r="B12" s="2" t="s">
        <v>20</v>
      </c>
      <c r="C12" s="2" t="s">
        <v>24</v>
      </c>
      <c r="D12" s="2" t="s">
        <v>37</v>
      </c>
      <c r="E12" s="2" t="s">
        <v>38</v>
      </c>
      <c r="F12">
        <v>10</v>
      </c>
      <c r="G12">
        <v>350</v>
      </c>
      <c r="H12">
        <v>3500</v>
      </c>
      <c r="I12">
        <v>220</v>
      </c>
      <c r="J12">
        <v>1300</v>
      </c>
      <c r="K12" t="s">
        <v>14</v>
      </c>
      <c r="L12">
        <v>2024</v>
      </c>
      <c r="M12" t="str">
        <f>"Q"&amp;ROUNDUP(MONTH(Sales_Data[[#This Row],[Date]])/3,0)</f>
        <v>Q1</v>
      </c>
      <c r="N12">
        <v>37</v>
      </c>
      <c r="O12">
        <v>7.0000000000000007E-2</v>
      </c>
      <c r="P12">
        <v>245.00000000000003</v>
      </c>
      <c r="Q12">
        <f t="shared" si="0"/>
        <v>8300</v>
      </c>
      <c r="R12">
        <f t="shared" si="1"/>
        <v>15100</v>
      </c>
      <c r="S12">
        <f>Sales_Data[[#This Row],[Total_Revenue]]*Sales_Data[[#This Row],[Sales_Rep_Info.Commission_Rate]]</f>
        <v>245.00000000000003</v>
      </c>
      <c r="T12" s="2">
        <f>INDEX(Sales_Targets!$C:$C,MATCH(Sales_Data[[#This Row],[Product_Category]],Sales_Targets!$D:$D,0),MATCH(Sales_Data[[#Headers],[Target_Revenue]],Sales_Targets[[#Headers],[Target_Revenue]],0))</f>
        <v>15000</v>
      </c>
      <c r="U12" s="2" t="str" cm="1">
        <f t="array" ref="U12">_xlfn.IFS(Sales_Data[[#This Row],[Total_Revenue]]&gt;5000, "High",Sales_Data[[#This Row],[Total_Revenue]]&gt;=1000, "Medium", Sales_Data[[#This Row],[Total_Revenue]]&lt;1000, "Low")</f>
        <v>Medium</v>
      </c>
      <c r="V12" s="2" t="str">
        <f>IF(Sales_Data[[#This Row],[Target_Revenue]]/Sales_Data[[#This Row],[Total_Revenue]]&gt;0.8, "Flag", "Thresold")</f>
        <v>Flag</v>
      </c>
      <c r="W12" s="2"/>
      <c r="X12" s="2"/>
      <c r="Y12" s="2"/>
    </row>
    <row r="13" spans="1:34" x14ac:dyDescent="0.25">
      <c r="A13" s="1">
        <v>45327</v>
      </c>
      <c r="B13" s="2" t="s">
        <v>28</v>
      </c>
      <c r="C13" s="2" t="s">
        <v>25</v>
      </c>
      <c r="D13" s="2" t="s">
        <v>35</v>
      </c>
      <c r="E13" s="2" t="s">
        <v>40</v>
      </c>
      <c r="F13">
        <v>5</v>
      </c>
      <c r="G13">
        <v>450</v>
      </c>
      <c r="H13">
        <v>2250</v>
      </c>
      <c r="I13">
        <v>280</v>
      </c>
      <c r="J13">
        <v>850</v>
      </c>
      <c r="K13" t="s">
        <v>14</v>
      </c>
      <c r="L13">
        <v>2024</v>
      </c>
      <c r="M13" t="str">
        <f>"Q"&amp;ROUNDUP(MONTH(Sales_Data[[#This Row],[Date]])/3,0)</f>
        <v>Q1</v>
      </c>
      <c r="N13">
        <v>38</v>
      </c>
      <c r="O13">
        <v>0.08</v>
      </c>
      <c r="P13">
        <v>180</v>
      </c>
      <c r="Q13">
        <f t="shared" si="0"/>
        <v>8150</v>
      </c>
      <c r="R13">
        <f t="shared" si="1"/>
        <v>7725</v>
      </c>
      <c r="S13">
        <f>Sales_Data[[#This Row],[Total_Revenue]]*Sales_Data[[#This Row],[Sales_Rep_Info.Commission_Rate]]</f>
        <v>180</v>
      </c>
      <c r="T13" s="2">
        <f>INDEX(Sales_Targets!$C:$C,MATCH(Sales_Data[[#This Row],[Product_Category]],Sales_Targets!$D:$D,0),MATCH(Sales_Data[[#Headers],[Target_Revenue]],Sales_Targets[[#Headers],[Target_Revenue]],0))</f>
        <v>8000</v>
      </c>
      <c r="U13" s="2" t="str" cm="1">
        <f t="array" ref="U13">_xlfn.IFS(Sales_Data[[#This Row],[Total_Revenue]]&gt;5000, "High",Sales_Data[[#This Row],[Total_Revenue]]&gt;=1000, "Medium", Sales_Data[[#This Row],[Total_Revenue]]&lt;1000, "Low")</f>
        <v>Medium</v>
      </c>
      <c r="V13" s="2" t="str">
        <f>IF(Sales_Data[[#This Row],[Target_Revenue]]/Sales_Data[[#This Row],[Total_Revenue]]&gt;0.8, "Flag", "Thresold")</f>
        <v>Flag</v>
      </c>
      <c r="W13" s="2"/>
      <c r="X13" s="2"/>
      <c r="Y13" s="2"/>
    </row>
    <row r="14" spans="1:34" x14ac:dyDescent="0.25">
      <c r="A14" s="1">
        <v>45330</v>
      </c>
      <c r="B14" s="2" t="s">
        <v>23</v>
      </c>
      <c r="C14" s="2" t="s">
        <v>26</v>
      </c>
      <c r="D14" s="2" t="s">
        <v>46</v>
      </c>
      <c r="E14" s="2" t="s">
        <v>34</v>
      </c>
      <c r="F14">
        <v>100</v>
      </c>
      <c r="G14">
        <v>5</v>
      </c>
      <c r="H14">
        <v>500</v>
      </c>
      <c r="I14">
        <v>2</v>
      </c>
      <c r="J14">
        <v>300</v>
      </c>
      <c r="K14" t="s">
        <v>14</v>
      </c>
      <c r="L14">
        <v>2024</v>
      </c>
      <c r="M14" t="str">
        <f>"Q"&amp;ROUNDUP(MONTH(Sales_Data[[#This Row],[Date]])/3,0)</f>
        <v>Q1</v>
      </c>
      <c r="N14">
        <v>60</v>
      </c>
      <c r="O14">
        <v>0.08</v>
      </c>
      <c r="P14">
        <v>40</v>
      </c>
      <c r="Q14">
        <f t="shared" si="0"/>
        <v>1340</v>
      </c>
      <c r="R14">
        <f t="shared" si="1"/>
        <v>3935</v>
      </c>
      <c r="S14">
        <f>Sales_Data[[#This Row],[Total_Revenue]]*Sales_Data[[#This Row],[Sales_Rep_Info.Commission_Rate]]</f>
        <v>40</v>
      </c>
      <c r="T14" s="2">
        <f>INDEX(Sales_Targets!$C:$C,MATCH(Sales_Data[[#This Row],[Product_Category]],Sales_Targets!$D:$D,0),MATCH(Sales_Data[[#Headers],[Target_Revenue]],Sales_Targets[[#Headers],[Target_Revenue]],0))</f>
        <v>3000</v>
      </c>
      <c r="U14" s="2" t="str" cm="1">
        <f t="array" ref="U14">_xlfn.IFS(Sales_Data[[#This Row],[Total_Revenue]]&gt;5000, "High",Sales_Data[[#This Row],[Total_Revenue]]&gt;=1000, "Medium", Sales_Data[[#This Row],[Total_Revenue]]&lt;1000, "Low")</f>
        <v>Low</v>
      </c>
      <c r="V14" s="2" t="str">
        <f>IF(Sales_Data[[#This Row],[Target_Revenue]]/Sales_Data[[#This Row],[Total_Revenue]]&gt;0.8, "Flag", "Thresold")</f>
        <v>Flag</v>
      </c>
      <c r="W14" s="2"/>
      <c r="X14" s="2"/>
      <c r="Y14" s="2"/>
    </row>
    <row r="15" spans="1:34" x14ac:dyDescent="0.25">
      <c r="A15" s="1">
        <v>45332</v>
      </c>
      <c r="B15" s="2" t="s">
        <v>27</v>
      </c>
      <c r="C15" s="2" t="s">
        <v>24</v>
      </c>
      <c r="D15" s="2" t="s">
        <v>33</v>
      </c>
      <c r="E15" s="2" t="s">
        <v>36</v>
      </c>
      <c r="F15">
        <v>4</v>
      </c>
      <c r="G15">
        <v>1200</v>
      </c>
      <c r="H15">
        <v>4800</v>
      </c>
      <c r="I15">
        <v>850</v>
      </c>
      <c r="J15">
        <v>1400</v>
      </c>
      <c r="K15" t="s">
        <v>14</v>
      </c>
      <c r="L15">
        <v>2024</v>
      </c>
      <c r="M15" t="str">
        <f>"Q"&amp;ROUNDUP(MONTH(Sales_Data[[#This Row],[Date]])/3,0)</f>
        <v>Q1</v>
      </c>
      <c r="N15">
        <v>29</v>
      </c>
      <c r="O15">
        <v>0.09</v>
      </c>
      <c r="P15">
        <v>432</v>
      </c>
      <c r="Q15">
        <f t="shared" si="0"/>
        <v>7280</v>
      </c>
      <c r="R15">
        <f t="shared" si="1"/>
        <v>15100</v>
      </c>
      <c r="S15">
        <f>Sales_Data[[#This Row],[Total_Revenue]]*Sales_Data[[#This Row],[Sales_Rep_Info.Commission_Rate]]</f>
        <v>432</v>
      </c>
      <c r="T15" s="2">
        <f>INDEX(Sales_Targets!$C:$C,MATCH(Sales_Data[[#This Row],[Product_Category]],Sales_Targets!$D:$D,0),MATCH(Sales_Data[[#Headers],[Target_Revenue]],Sales_Targets[[#Headers],[Target_Revenue]],0))</f>
        <v>15000</v>
      </c>
      <c r="U15" s="2" t="str" cm="1">
        <f t="array" ref="U15">_xlfn.IFS(Sales_Data[[#This Row],[Total_Revenue]]&gt;5000, "High",Sales_Data[[#This Row],[Total_Revenue]]&gt;=1000, "Medium", Sales_Data[[#This Row],[Total_Revenue]]&lt;1000, "Low")</f>
        <v>Medium</v>
      </c>
      <c r="V15" s="2" t="str">
        <f>IF(Sales_Data[[#This Row],[Target_Revenue]]/Sales_Data[[#This Row],[Total_Revenue]]&gt;0.8, "Flag", "Thresold")</f>
        <v>Flag</v>
      </c>
      <c r="W15" s="2"/>
      <c r="X15" s="2"/>
      <c r="Y15" s="2"/>
    </row>
    <row r="16" spans="1:34" x14ac:dyDescent="0.25">
      <c r="A16" s="1">
        <v>45334</v>
      </c>
      <c r="B16" s="2" t="s">
        <v>20</v>
      </c>
      <c r="C16" s="2" t="s">
        <v>25</v>
      </c>
      <c r="D16" s="2" t="s">
        <v>41</v>
      </c>
      <c r="E16" s="2" t="s">
        <v>38</v>
      </c>
      <c r="F16">
        <v>15</v>
      </c>
      <c r="G16">
        <v>180</v>
      </c>
      <c r="H16">
        <v>2700</v>
      </c>
      <c r="I16">
        <v>95</v>
      </c>
      <c r="J16">
        <v>1275</v>
      </c>
      <c r="K16" t="s">
        <v>14</v>
      </c>
      <c r="L16">
        <v>2024</v>
      </c>
      <c r="M16" t="str">
        <f>"Q"&amp;ROUNDUP(MONTH(Sales_Data[[#This Row],[Date]])/3,0)</f>
        <v>Q1</v>
      </c>
      <c r="N16">
        <v>47</v>
      </c>
      <c r="O16">
        <v>7.0000000000000007E-2</v>
      </c>
      <c r="P16">
        <v>189.00000000000003</v>
      </c>
      <c r="Q16">
        <f t="shared" si="0"/>
        <v>8300</v>
      </c>
      <c r="R16">
        <f t="shared" si="1"/>
        <v>7725</v>
      </c>
      <c r="S16">
        <f>Sales_Data[[#This Row],[Total_Revenue]]*Sales_Data[[#This Row],[Sales_Rep_Info.Commission_Rate]]</f>
        <v>189.00000000000003</v>
      </c>
      <c r="T16" s="2">
        <f>INDEX(Sales_Targets!$C:$C,MATCH(Sales_Data[[#This Row],[Product_Category]],Sales_Targets!$D:$D,0),MATCH(Sales_Data[[#Headers],[Target_Revenue]],Sales_Targets[[#Headers],[Target_Revenue]],0))</f>
        <v>8000</v>
      </c>
      <c r="U16" s="2" t="str" cm="1">
        <f t="array" ref="U16">_xlfn.IFS(Sales_Data[[#This Row],[Total_Revenue]]&gt;5000, "High",Sales_Data[[#This Row],[Total_Revenue]]&gt;=1000, "Medium", Sales_Data[[#This Row],[Total_Revenue]]&lt;1000, "Low")</f>
        <v>Medium</v>
      </c>
      <c r="V16" s="2" t="str">
        <f>IF(Sales_Data[[#This Row],[Target_Revenue]]/Sales_Data[[#This Row],[Total_Revenue]]&gt;0.8, "Flag", "Thresold")</f>
        <v>Flag</v>
      </c>
      <c r="W16" s="2"/>
      <c r="X16" s="2"/>
      <c r="Y16" s="2"/>
    </row>
    <row r="17" spans="1:25" x14ac:dyDescent="0.25">
      <c r="A17" s="1">
        <v>45337</v>
      </c>
      <c r="B17" s="2" t="s">
        <v>28</v>
      </c>
      <c r="C17" s="2" t="s">
        <v>24</v>
      </c>
      <c r="D17" s="2" t="s">
        <v>42</v>
      </c>
      <c r="E17" s="2" t="s">
        <v>40</v>
      </c>
      <c r="F17">
        <v>8</v>
      </c>
      <c r="G17">
        <v>550</v>
      </c>
      <c r="H17">
        <v>4400</v>
      </c>
      <c r="I17">
        <v>380</v>
      </c>
      <c r="J17">
        <v>1360</v>
      </c>
      <c r="K17" t="s">
        <v>14</v>
      </c>
      <c r="L17">
        <v>2024</v>
      </c>
      <c r="M17" t="str">
        <f>"Q"&amp;ROUNDUP(MONTH(Sales_Data[[#This Row],[Date]])/3,0)</f>
        <v>Q1</v>
      </c>
      <c r="N17">
        <v>31</v>
      </c>
      <c r="O17">
        <v>0.08</v>
      </c>
      <c r="P17">
        <v>352</v>
      </c>
      <c r="Q17">
        <f t="shared" si="0"/>
        <v>8150</v>
      </c>
      <c r="R17">
        <f t="shared" si="1"/>
        <v>15100</v>
      </c>
      <c r="S17">
        <f>Sales_Data[[#This Row],[Total_Revenue]]*Sales_Data[[#This Row],[Sales_Rep_Info.Commission_Rate]]</f>
        <v>352</v>
      </c>
      <c r="T17" s="2">
        <f>INDEX(Sales_Targets!$C:$C,MATCH(Sales_Data[[#This Row],[Product_Category]],Sales_Targets!$D:$D,0),MATCH(Sales_Data[[#Headers],[Target_Revenue]],Sales_Targets[[#Headers],[Target_Revenue]],0))</f>
        <v>15000</v>
      </c>
      <c r="U17" s="2" t="str" cm="1">
        <f t="array" ref="U17">_xlfn.IFS(Sales_Data[[#This Row],[Total_Revenue]]&gt;5000, "High",Sales_Data[[#This Row],[Total_Revenue]]&gt;=1000, "Medium", Sales_Data[[#This Row],[Total_Revenue]]&lt;1000, "Low")</f>
        <v>Medium</v>
      </c>
      <c r="V17" s="2" t="str">
        <f>IF(Sales_Data[[#This Row],[Target_Revenue]]/Sales_Data[[#This Row],[Total_Revenue]]&gt;0.8, "Flag", "Thresold")</f>
        <v>Flag</v>
      </c>
      <c r="W17" s="2"/>
      <c r="X17" s="2"/>
      <c r="Y17" s="2"/>
    </row>
    <row r="18" spans="1:25" x14ac:dyDescent="0.25">
      <c r="A18" s="1">
        <v>45340</v>
      </c>
      <c r="B18" s="2" t="s">
        <v>23</v>
      </c>
      <c r="C18" s="2" t="s">
        <v>26</v>
      </c>
      <c r="D18" s="2" t="s">
        <v>39</v>
      </c>
      <c r="E18" s="2" t="s">
        <v>34</v>
      </c>
      <c r="F18">
        <v>3</v>
      </c>
      <c r="G18">
        <v>280</v>
      </c>
      <c r="H18">
        <v>840</v>
      </c>
      <c r="I18">
        <v>180</v>
      </c>
      <c r="J18">
        <v>300</v>
      </c>
      <c r="K18" t="s">
        <v>14</v>
      </c>
      <c r="L18">
        <v>2024</v>
      </c>
      <c r="M18" t="str">
        <f>"Q"&amp;ROUNDUP(MONTH(Sales_Data[[#This Row],[Date]])/3,0)</f>
        <v>Q1</v>
      </c>
      <c r="N18">
        <v>36</v>
      </c>
      <c r="O18">
        <v>0.08</v>
      </c>
      <c r="P18">
        <v>67.2</v>
      </c>
      <c r="Q18">
        <f t="shared" si="0"/>
        <v>1340</v>
      </c>
      <c r="R18">
        <f t="shared" si="1"/>
        <v>3935</v>
      </c>
      <c r="S18">
        <f>Sales_Data[[#This Row],[Total_Revenue]]*Sales_Data[[#This Row],[Sales_Rep_Info.Commission_Rate]]</f>
        <v>67.2</v>
      </c>
      <c r="T18" s="2">
        <f>INDEX(Sales_Targets!$C:$C,MATCH(Sales_Data[[#This Row],[Product_Category]],Sales_Targets!$D:$D,0),MATCH(Sales_Data[[#Headers],[Target_Revenue]],Sales_Targets[[#Headers],[Target_Revenue]],0))</f>
        <v>3000</v>
      </c>
      <c r="U18" s="2" t="str" cm="1">
        <f t="array" ref="U18">_xlfn.IFS(Sales_Data[[#This Row],[Total_Revenue]]&gt;5000, "High",Sales_Data[[#This Row],[Total_Revenue]]&gt;=1000, "Medium", Sales_Data[[#This Row],[Total_Revenue]]&lt;1000, "Low")</f>
        <v>Low</v>
      </c>
      <c r="V18" s="2" t="str">
        <f>IF(Sales_Data[[#This Row],[Target_Revenue]]/Sales_Data[[#This Row],[Total_Revenue]]&gt;0.8, "Flag", "Thresold")</f>
        <v>Flag</v>
      </c>
      <c r="W18" s="2"/>
      <c r="X18" s="2"/>
      <c r="Y18" s="2"/>
    </row>
    <row r="19" spans="1:25" x14ac:dyDescent="0.25">
      <c r="A19" s="1">
        <v>45342</v>
      </c>
      <c r="B19" s="2" t="s">
        <v>27</v>
      </c>
      <c r="C19" s="2" t="s">
        <v>25</v>
      </c>
      <c r="D19" s="2" t="s">
        <v>44</v>
      </c>
      <c r="E19" s="2" t="s">
        <v>36</v>
      </c>
      <c r="F19">
        <v>4</v>
      </c>
      <c r="G19">
        <v>620</v>
      </c>
      <c r="H19">
        <v>2480</v>
      </c>
      <c r="I19">
        <v>395</v>
      </c>
      <c r="J19">
        <v>900</v>
      </c>
      <c r="K19" t="s">
        <v>14</v>
      </c>
      <c r="L19">
        <v>2024</v>
      </c>
      <c r="M19" t="str">
        <f>"Q"&amp;ROUNDUP(MONTH(Sales_Data[[#This Row],[Date]])/3,0)</f>
        <v>Q1</v>
      </c>
      <c r="N19">
        <v>36</v>
      </c>
      <c r="O19">
        <v>0.09</v>
      </c>
      <c r="P19">
        <v>223.2</v>
      </c>
      <c r="Q19">
        <f t="shared" si="0"/>
        <v>7280</v>
      </c>
      <c r="R19">
        <f t="shared" si="1"/>
        <v>7725</v>
      </c>
      <c r="S19">
        <f>Sales_Data[[#This Row],[Total_Revenue]]*Sales_Data[[#This Row],[Sales_Rep_Info.Commission_Rate]]</f>
        <v>223.2</v>
      </c>
      <c r="T19" s="2">
        <f>INDEX(Sales_Targets!$C:$C,MATCH(Sales_Data[[#This Row],[Product_Category]],Sales_Targets!$D:$D,0),MATCH(Sales_Data[[#Headers],[Target_Revenue]],Sales_Targets[[#Headers],[Target_Revenue]],0))</f>
        <v>8000</v>
      </c>
      <c r="U19" s="2" t="str" cm="1">
        <f t="array" ref="U19">_xlfn.IFS(Sales_Data[[#This Row],[Total_Revenue]]&gt;5000, "High",Sales_Data[[#This Row],[Total_Revenue]]&gt;=1000, "Medium", Sales_Data[[#This Row],[Total_Revenue]]&lt;1000, "Low")</f>
        <v>Medium</v>
      </c>
      <c r="V19" s="2" t="str">
        <f>IF(Sales_Data[[#This Row],[Target_Revenue]]/Sales_Data[[#This Row],[Total_Revenue]]&gt;0.8, "Flag", "Thresold")</f>
        <v>Flag</v>
      </c>
      <c r="W19" s="2"/>
      <c r="X19" s="2"/>
      <c r="Y19" s="2"/>
    </row>
    <row r="20" spans="1:25" x14ac:dyDescent="0.25">
      <c r="A20" s="1">
        <v>45344</v>
      </c>
      <c r="B20" s="2" t="s">
        <v>20</v>
      </c>
      <c r="C20" s="2" t="s">
        <v>24</v>
      </c>
      <c r="D20" s="2" t="s">
        <v>37</v>
      </c>
      <c r="E20" s="2" t="s">
        <v>38</v>
      </c>
      <c r="F20">
        <v>6</v>
      </c>
      <c r="G20">
        <v>350</v>
      </c>
      <c r="H20">
        <v>2100</v>
      </c>
      <c r="I20">
        <v>220</v>
      </c>
      <c r="J20">
        <v>780</v>
      </c>
      <c r="K20" t="s">
        <v>14</v>
      </c>
      <c r="L20">
        <v>2024</v>
      </c>
      <c r="M20" t="str">
        <f>"Q"&amp;ROUNDUP(MONTH(Sales_Data[[#This Row],[Date]])/3,0)</f>
        <v>Q1</v>
      </c>
      <c r="N20">
        <v>37</v>
      </c>
      <c r="O20">
        <v>7.0000000000000007E-2</v>
      </c>
      <c r="P20">
        <v>147</v>
      </c>
      <c r="Q20">
        <f t="shared" si="0"/>
        <v>8300</v>
      </c>
      <c r="R20">
        <f t="shared" si="1"/>
        <v>15100</v>
      </c>
      <c r="S20">
        <f>Sales_Data[[#This Row],[Total_Revenue]]*Sales_Data[[#This Row],[Sales_Rep_Info.Commission_Rate]]</f>
        <v>147</v>
      </c>
      <c r="T20" s="2">
        <f>INDEX(Sales_Targets!$C:$C,MATCH(Sales_Data[[#This Row],[Product_Category]],Sales_Targets!$D:$D,0),MATCH(Sales_Data[[#Headers],[Target_Revenue]],Sales_Targets[[#Headers],[Target_Revenue]],0))</f>
        <v>15000</v>
      </c>
      <c r="U20" s="2" t="str" cm="1">
        <f t="array" ref="U20">_xlfn.IFS(Sales_Data[[#This Row],[Total_Revenue]]&gt;5000, "High",Sales_Data[[#This Row],[Total_Revenue]]&gt;=1000, "Medium", Sales_Data[[#This Row],[Total_Revenue]]&lt;1000, "Low")</f>
        <v>Medium</v>
      </c>
      <c r="V20" s="2" t="str">
        <f>IF(Sales_Data[[#This Row],[Target_Revenue]]/Sales_Data[[#This Row],[Total_Revenue]]&gt;0.8, "Flag", "Thresold")</f>
        <v>Flag</v>
      </c>
      <c r="W20" s="2"/>
      <c r="X20" s="2"/>
      <c r="Y20" s="2"/>
    </row>
    <row r="21" spans="1:25" x14ac:dyDescent="0.25">
      <c r="A21" s="1">
        <v>45347</v>
      </c>
      <c r="B21" s="2" t="s">
        <v>28</v>
      </c>
      <c r="C21" s="2" t="s">
        <v>26</v>
      </c>
      <c r="D21" s="2" t="s">
        <v>43</v>
      </c>
      <c r="E21" s="2" t="s">
        <v>40</v>
      </c>
      <c r="F21">
        <v>60</v>
      </c>
      <c r="G21">
        <v>25</v>
      </c>
      <c r="H21">
        <v>1500</v>
      </c>
      <c r="I21">
        <v>12</v>
      </c>
      <c r="J21">
        <v>780</v>
      </c>
      <c r="K21" t="s">
        <v>14</v>
      </c>
      <c r="L21">
        <v>2024</v>
      </c>
      <c r="M21" t="str">
        <f>"Q"&amp;ROUNDUP(MONTH(Sales_Data[[#This Row],[Date]])/3,0)</f>
        <v>Q1</v>
      </c>
      <c r="N21">
        <v>52</v>
      </c>
      <c r="O21">
        <v>0.08</v>
      </c>
      <c r="P21">
        <v>120</v>
      </c>
      <c r="Q21">
        <f t="shared" si="0"/>
        <v>8150</v>
      </c>
      <c r="R21">
        <f t="shared" si="1"/>
        <v>3935</v>
      </c>
      <c r="S21">
        <f>Sales_Data[[#This Row],[Total_Revenue]]*Sales_Data[[#This Row],[Sales_Rep_Info.Commission_Rate]]</f>
        <v>120</v>
      </c>
      <c r="T21" s="2">
        <f>INDEX(Sales_Targets!$C:$C,MATCH(Sales_Data[[#This Row],[Product_Category]],Sales_Targets!$D:$D,0),MATCH(Sales_Data[[#Headers],[Target_Revenue]],Sales_Targets[[#Headers],[Target_Revenue]],0))</f>
        <v>3000</v>
      </c>
      <c r="U21" s="2" t="str" cm="1">
        <f t="array" ref="U21">_xlfn.IFS(Sales_Data[[#This Row],[Total_Revenue]]&gt;5000, "High",Sales_Data[[#This Row],[Total_Revenue]]&gt;=1000, "Medium", Sales_Data[[#This Row],[Total_Revenue]]&lt;1000, "Low")</f>
        <v>Medium</v>
      </c>
      <c r="V21" s="2" t="str">
        <f>IF(Sales_Data[[#This Row],[Target_Revenue]]/Sales_Data[[#This Row],[Total_Revenue]]&gt;0.8, "Flag", "Thresold")</f>
        <v>Flag</v>
      </c>
      <c r="W21" s="2"/>
      <c r="X21" s="2"/>
      <c r="Y21" s="2"/>
    </row>
    <row r="22" spans="1:25" x14ac:dyDescent="0.25">
      <c r="A22" s="1">
        <v>45352</v>
      </c>
      <c r="B22" s="2" t="s">
        <v>23</v>
      </c>
      <c r="C22" s="2" t="s">
        <v>24</v>
      </c>
      <c r="D22" s="2" t="s">
        <v>33</v>
      </c>
      <c r="E22" s="2" t="s">
        <v>34</v>
      </c>
      <c r="F22">
        <v>9</v>
      </c>
      <c r="G22">
        <v>1200</v>
      </c>
      <c r="H22">
        <v>10800</v>
      </c>
      <c r="I22">
        <v>850</v>
      </c>
      <c r="J22">
        <v>3150</v>
      </c>
      <c r="K22" t="s">
        <v>15</v>
      </c>
      <c r="L22">
        <v>2024</v>
      </c>
      <c r="M22" t="str">
        <f>"Q"&amp;ROUNDUP(MONTH(Sales_Data[[#This Row],[Date]])/3,0)</f>
        <v>Q1</v>
      </c>
      <c r="N22">
        <v>29</v>
      </c>
      <c r="O22">
        <v>0.08</v>
      </c>
      <c r="P22">
        <v>864</v>
      </c>
      <c r="Q22">
        <f t="shared" si="0"/>
        <v>14040</v>
      </c>
      <c r="R22">
        <f t="shared" si="1"/>
        <v>15100</v>
      </c>
      <c r="S22">
        <f>Sales_Data[[#This Row],[Total_Revenue]]*Sales_Data[[#This Row],[Sales_Rep_Info.Commission_Rate]]</f>
        <v>864</v>
      </c>
      <c r="T22" s="2">
        <f>INDEX(Sales_Targets!$C:$C,MATCH(Sales_Data[[#This Row],[Product_Category]],Sales_Targets!$D:$D,0),MATCH(Sales_Data[[#Headers],[Target_Revenue]],Sales_Targets[[#Headers],[Target_Revenue]],0))</f>
        <v>15000</v>
      </c>
      <c r="U22" s="2" t="str" cm="1">
        <f t="array" ref="U22">_xlfn.IFS(Sales_Data[[#This Row],[Total_Revenue]]&gt;5000, "High",Sales_Data[[#This Row],[Total_Revenue]]&gt;=1000, "Medium", Sales_Data[[#This Row],[Total_Revenue]]&lt;1000, "Low")</f>
        <v>High</v>
      </c>
      <c r="V22" s="2" t="str">
        <f>IF(Sales_Data[[#This Row],[Target_Revenue]]/Sales_Data[[#This Row],[Total_Revenue]]&gt;0.8, "Flag", "Thresold")</f>
        <v>Flag</v>
      </c>
      <c r="W22" s="2"/>
      <c r="X22" s="2"/>
      <c r="Y22" s="2"/>
    </row>
    <row r="23" spans="1:25" x14ac:dyDescent="0.25">
      <c r="A23" s="1">
        <v>45356</v>
      </c>
      <c r="B23" s="2" t="s">
        <v>27</v>
      </c>
      <c r="C23" s="2" t="s">
        <v>25</v>
      </c>
      <c r="D23" s="2" t="s">
        <v>35</v>
      </c>
      <c r="E23" s="2" t="s">
        <v>36</v>
      </c>
      <c r="F23">
        <v>7</v>
      </c>
      <c r="G23">
        <v>450</v>
      </c>
      <c r="H23">
        <v>3150</v>
      </c>
      <c r="I23">
        <v>280</v>
      </c>
      <c r="J23">
        <v>1190</v>
      </c>
      <c r="K23" t="s">
        <v>15</v>
      </c>
      <c r="L23">
        <v>2024</v>
      </c>
      <c r="M23" t="str">
        <f>"Q"&amp;ROUNDUP(MONTH(Sales_Data[[#This Row],[Date]])/3,0)</f>
        <v>Q1</v>
      </c>
      <c r="N23">
        <v>38</v>
      </c>
      <c r="O23">
        <v>0.09</v>
      </c>
      <c r="P23">
        <v>283.5</v>
      </c>
      <c r="Q23">
        <f t="shared" si="0"/>
        <v>3150</v>
      </c>
      <c r="R23">
        <f t="shared" si="1"/>
        <v>7725</v>
      </c>
      <c r="S23">
        <f>Sales_Data[[#This Row],[Total_Revenue]]*Sales_Data[[#This Row],[Sales_Rep_Info.Commission_Rate]]</f>
        <v>283.5</v>
      </c>
      <c r="T23" s="2">
        <f>INDEX(Sales_Targets!$C:$C,MATCH(Sales_Data[[#This Row],[Product_Category]],Sales_Targets!$D:$D,0),MATCH(Sales_Data[[#Headers],[Target_Revenue]],Sales_Targets[[#Headers],[Target_Revenue]],0))</f>
        <v>8000</v>
      </c>
      <c r="U23" s="2" t="str" cm="1">
        <f t="array" ref="U23">_xlfn.IFS(Sales_Data[[#This Row],[Total_Revenue]]&gt;5000, "High",Sales_Data[[#This Row],[Total_Revenue]]&gt;=1000, "Medium", Sales_Data[[#This Row],[Total_Revenue]]&lt;1000, "Low")</f>
        <v>Medium</v>
      </c>
      <c r="V23" s="2" t="str">
        <f>IF(Sales_Data[[#This Row],[Target_Revenue]]/Sales_Data[[#This Row],[Total_Revenue]]&gt;0.8, "Flag", "Thresold")</f>
        <v>Flag</v>
      </c>
      <c r="W23" s="2"/>
      <c r="X23" s="2"/>
      <c r="Y23" s="2"/>
    </row>
    <row r="24" spans="1:25" x14ac:dyDescent="0.25">
      <c r="A24" s="1">
        <v>45359</v>
      </c>
      <c r="B24" s="2" t="s">
        <v>20</v>
      </c>
      <c r="C24" s="2" t="s">
        <v>26</v>
      </c>
      <c r="D24" s="2" t="s">
        <v>45</v>
      </c>
      <c r="E24" s="2" t="s">
        <v>38</v>
      </c>
      <c r="F24">
        <v>20</v>
      </c>
      <c r="G24">
        <v>85</v>
      </c>
      <c r="H24">
        <v>1700</v>
      </c>
      <c r="I24">
        <v>42</v>
      </c>
      <c r="J24">
        <v>860</v>
      </c>
      <c r="K24" t="s">
        <v>15</v>
      </c>
      <c r="L24">
        <v>2024</v>
      </c>
      <c r="M24" t="str">
        <f>"Q"&amp;ROUNDUP(MONTH(Sales_Data[[#This Row],[Date]])/3,0)</f>
        <v>Q1</v>
      </c>
      <c r="N24">
        <v>51</v>
      </c>
      <c r="O24">
        <v>7.0000000000000007E-2</v>
      </c>
      <c r="P24">
        <v>119.00000000000001</v>
      </c>
      <c r="Q24">
        <f t="shared" si="0"/>
        <v>1700</v>
      </c>
      <c r="R24">
        <f t="shared" si="1"/>
        <v>3935</v>
      </c>
      <c r="S24">
        <f>Sales_Data[[#This Row],[Total_Revenue]]*Sales_Data[[#This Row],[Sales_Rep_Info.Commission_Rate]]</f>
        <v>119.00000000000001</v>
      </c>
      <c r="T24" s="2">
        <f>INDEX(Sales_Targets!$C:$C,MATCH(Sales_Data[[#This Row],[Product_Category]],Sales_Targets!$D:$D,0),MATCH(Sales_Data[[#Headers],[Target_Revenue]],Sales_Targets[[#Headers],[Target_Revenue]],0))</f>
        <v>3000</v>
      </c>
      <c r="U24" s="2" t="str" cm="1">
        <f t="array" ref="U24">_xlfn.IFS(Sales_Data[[#This Row],[Total_Revenue]]&gt;5000, "High",Sales_Data[[#This Row],[Total_Revenue]]&gt;=1000, "Medium", Sales_Data[[#This Row],[Total_Revenue]]&lt;1000, "Low")</f>
        <v>Medium</v>
      </c>
      <c r="V24" s="2" t="str">
        <f>IF(Sales_Data[[#This Row],[Target_Revenue]]/Sales_Data[[#This Row],[Total_Revenue]]&gt;0.8, "Flag", "Thresold")</f>
        <v>Flag</v>
      </c>
      <c r="W24" s="2"/>
      <c r="X24" s="2"/>
      <c r="Y24" s="2"/>
    </row>
    <row r="25" spans="1:25" x14ac:dyDescent="0.25">
      <c r="A25" s="1">
        <v>45361</v>
      </c>
      <c r="B25" s="2" t="s">
        <v>28</v>
      </c>
      <c r="C25" s="2" t="s">
        <v>24</v>
      </c>
      <c r="D25" s="2" t="s">
        <v>42</v>
      </c>
      <c r="E25" s="2" t="s">
        <v>40</v>
      </c>
      <c r="F25">
        <v>5</v>
      </c>
      <c r="G25">
        <v>550</v>
      </c>
      <c r="H25">
        <v>2750</v>
      </c>
      <c r="I25">
        <v>380</v>
      </c>
      <c r="J25">
        <v>850</v>
      </c>
      <c r="K25" t="s">
        <v>15</v>
      </c>
      <c r="L25">
        <v>2024</v>
      </c>
      <c r="M25" t="str">
        <f>"Q"&amp;ROUNDUP(MONTH(Sales_Data[[#This Row],[Date]])/3,0)</f>
        <v>Q1</v>
      </c>
      <c r="N25">
        <v>31</v>
      </c>
      <c r="O25">
        <v>0.08</v>
      </c>
      <c r="P25">
        <v>220</v>
      </c>
      <c r="Q25">
        <f t="shared" si="0"/>
        <v>2750</v>
      </c>
      <c r="R25">
        <f t="shared" si="1"/>
        <v>15100</v>
      </c>
      <c r="S25">
        <f>Sales_Data[[#This Row],[Total_Revenue]]*Sales_Data[[#This Row],[Sales_Rep_Info.Commission_Rate]]</f>
        <v>220</v>
      </c>
      <c r="T25" s="2">
        <f>INDEX(Sales_Targets!$C:$C,MATCH(Sales_Data[[#This Row],[Product_Category]],Sales_Targets!$D:$D,0),MATCH(Sales_Data[[#Headers],[Target_Revenue]],Sales_Targets[[#Headers],[Target_Revenue]],0))</f>
        <v>15000</v>
      </c>
      <c r="U25" s="2" t="str" cm="1">
        <f t="array" ref="U25">_xlfn.IFS(Sales_Data[[#This Row],[Total_Revenue]]&gt;5000, "High",Sales_Data[[#This Row],[Total_Revenue]]&gt;=1000, "Medium", Sales_Data[[#This Row],[Total_Revenue]]&lt;1000, "Low")</f>
        <v>Medium</v>
      </c>
      <c r="V25" s="2" t="str">
        <f>IF(Sales_Data[[#This Row],[Target_Revenue]]/Sales_Data[[#This Row],[Total_Revenue]]&gt;0.8, "Flag", "Thresold")</f>
        <v>Flag</v>
      </c>
      <c r="W25" s="2"/>
      <c r="X25" s="2"/>
      <c r="Y25" s="2"/>
    </row>
    <row r="26" spans="1:25" x14ac:dyDescent="0.25">
      <c r="A26" s="1">
        <v>45366</v>
      </c>
      <c r="B26" s="2" t="s">
        <v>23</v>
      </c>
      <c r="C26" s="2" t="s">
        <v>25</v>
      </c>
      <c r="D26" s="2" t="s">
        <v>41</v>
      </c>
      <c r="E26" s="2" t="s">
        <v>34</v>
      </c>
      <c r="F26">
        <v>18</v>
      </c>
      <c r="G26">
        <v>180</v>
      </c>
      <c r="H26">
        <v>3240</v>
      </c>
      <c r="I26">
        <v>95</v>
      </c>
      <c r="J26">
        <v>1530</v>
      </c>
      <c r="K26" t="s">
        <v>15</v>
      </c>
      <c r="L26">
        <v>2024</v>
      </c>
      <c r="M26" t="str">
        <f>"Q"&amp;ROUNDUP(MONTH(Sales_Data[[#This Row],[Date]])/3,0)</f>
        <v>Q1</v>
      </c>
      <c r="N26">
        <v>47</v>
      </c>
      <c r="O26">
        <v>0.08</v>
      </c>
      <c r="P26">
        <v>259.2</v>
      </c>
      <c r="Q26">
        <f t="shared" si="0"/>
        <v>14040</v>
      </c>
      <c r="R26">
        <f t="shared" si="1"/>
        <v>7725</v>
      </c>
      <c r="S26">
        <f>Sales_Data[[#This Row],[Total_Revenue]]*Sales_Data[[#This Row],[Sales_Rep_Info.Commission_Rate]]</f>
        <v>259.2</v>
      </c>
      <c r="T26" s="2">
        <f>INDEX(Sales_Targets!$C:$C,MATCH(Sales_Data[[#This Row],[Product_Category]],Sales_Targets!$D:$D,0),MATCH(Sales_Data[[#Headers],[Target_Revenue]],Sales_Targets[[#Headers],[Target_Revenue]],0))</f>
        <v>8000</v>
      </c>
      <c r="U26" s="2" t="str" cm="1">
        <f t="array" ref="U26">_xlfn.IFS(Sales_Data[[#This Row],[Total_Revenue]]&gt;5000, "High",Sales_Data[[#This Row],[Total_Revenue]]&gt;=1000, "Medium", Sales_Data[[#This Row],[Total_Revenue]]&lt;1000, "Low")</f>
        <v>Medium</v>
      </c>
      <c r="V26" s="2" t="str">
        <f>IF(Sales_Data[[#This Row],[Target_Revenue]]/Sales_Data[[#This Row],[Total_Revenue]]&gt;0.8, "Flag", "Thresold")</f>
        <v>Flag</v>
      </c>
      <c r="W26" s="2"/>
      <c r="X26" s="2"/>
      <c r="Y26" s="2"/>
    </row>
    <row r="1048576" spans="17:32" x14ac:dyDescent="0.25">
      <c r="Q1048576">
        <f>SUM(Q2:Q1048575)</f>
        <v>182545</v>
      </c>
      <c r="AF1048576">
        <f>SUM(AF2:AF1048575)</f>
        <v>417</v>
      </c>
    </row>
  </sheetData>
  <mergeCells count="2">
    <mergeCell ref="AC1:AD1"/>
    <mergeCell ref="AG1:AH1"/>
  </mergeCells>
  <conditionalFormatting sqref="E2:E26">
    <cfRule type="duplicateValues" dxfId="0" priority="3"/>
  </conditionalFormatting>
  <conditionalFormatting sqref="F2:F26">
    <cfRule type="colorScale" priority="1">
      <colorScale>
        <cfvo type="min"/>
        <cfvo type="percentile" val="50"/>
        <cfvo type="max"/>
        <color rgb="FFF8696B"/>
        <color rgb="FFFFEB84"/>
        <color rgb="FF63BE7B"/>
      </colorScale>
    </cfRule>
    <cfRule type="colorScale" priority="2">
      <colorScale>
        <cfvo type="min"/>
        <cfvo type="max"/>
        <color rgb="FFFF7128"/>
        <color rgb="FFFFEF9C"/>
      </colorScale>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0F753-7942-4F4C-878E-71F70595AF7B}">
  <dimension ref="A1:B23"/>
  <sheetViews>
    <sheetView tabSelected="1" workbookViewId="0">
      <selection activeCell="B15" sqref="B15"/>
    </sheetView>
  </sheetViews>
  <sheetFormatPr defaultRowHeight="15" x14ac:dyDescent="0.25"/>
  <cols>
    <col min="1" max="1" width="19.5703125" customWidth="1"/>
    <col min="2" max="2" width="77.7109375" customWidth="1"/>
  </cols>
  <sheetData>
    <row r="1" spans="1:2" ht="28.5" customHeight="1" x14ac:dyDescent="0.25">
      <c r="A1" s="28" t="s">
        <v>143</v>
      </c>
      <c r="B1" s="28"/>
    </row>
    <row r="3" spans="1:2" ht="15.75" x14ac:dyDescent="0.25">
      <c r="A3" s="25" t="s">
        <v>144</v>
      </c>
      <c r="B3" s="25" t="str">
        <f>"Total Revenue is: "&amp;TEXT(SUM(Sales_Data!H:H),"#,##0")</f>
        <v>Total Revenue is: 75,605</v>
      </c>
    </row>
    <row r="4" spans="1:2" ht="15.75" x14ac:dyDescent="0.25">
      <c r="A4" s="25"/>
      <c r="B4" s="25" t="str">
        <f>"Highest Revenue Month: "&amp;INDEX(Sales_Data[Month],MATCH(MAX(Sales_Data[Total_Revenue]),Sales_Data[Total_Revenue],0))</f>
        <v>Highest Revenue Month: March</v>
      </c>
    </row>
    <row r="5" spans="1:2" ht="15.75" x14ac:dyDescent="0.25">
      <c r="A5" s="25"/>
      <c r="B5" s="25" t="str">
        <f>"Average Profit Margin: "&amp;ROUND(AVERAGE(Sales_Data[ProfitMargin]),2)&amp;"%"</f>
        <v>Average Profit Margin: 39.4%</v>
      </c>
    </row>
    <row r="6" spans="1:2" ht="15.75" x14ac:dyDescent="0.25">
      <c r="A6" s="25"/>
      <c r="B6" s="25"/>
    </row>
    <row r="7" spans="1:2" ht="15.75" x14ac:dyDescent="0.25">
      <c r="A7" s="25" t="s">
        <v>145</v>
      </c>
      <c r="B7" s="25" t="str">
        <f>IF(MAX(Sales_Data[Total_Revenue])&gt;10000,"Product is nice and should marketing to increase revenue more. The revenue is "&amp;MAX(Sales_Data[Total_Revenue]))</f>
        <v>Product is nice and should marketing to increase revenue more. The revenue is 10800</v>
      </c>
    </row>
    <row r="8" spans="1:2" ht="15.75" x14ac:dyDescent="0.25">
      <c r="A8" s="25"/>
      <c r="B8" s="25"/>
    </row>
    <row r="9" spans="1:2" ht="15.75" x14ac:dyDescent="0.25">
      <c r="A9" s="25"/>
      <c r="B9" s="25"/>
    </row>
    <row r="10" spans="1:2" ht="15.75" x14ac:dyDescent="0.25">
      <c r="A10" s="25" t="s">
        <v>146</v>
      </c>
      <c r="B10" s="25"/>
    </row>
    <row r="11" spans="1:2" ht="15.75" x14ac:dyDescent="0.25">
      <c r="A11" s="25"/>
      <c r="B11" s="25"/>
    </row>
    <row r="12" spans="1:2" ht="15.75" x14ac:dyDescent="0.25">
      <c r="A12" s="25"/>
      <c r="B12" s="25"/>
    </row>
    <row r="13" spans="1:2" ht="15.75" x14ac:dyDescent="0.25">
      <c r="A13" s="25" t="s">
        <v>147</v>
      </c>
      <c r="B13" s="25" t="str">
        <f>"Averrage profit Margin: "&amp;ROUND(AVERAGE(Sales_Data[ProfitMargin]),2)&amp;"%.""So, Profit margin is 'Low'."</f>
        <v>Averrage profit Margin: 39.4%."So, Profit margin is 'Low'.</v>
      </c>
    </row>
    <row r="14" spans="1:2" ht="15.75" x14ac:dyDescent="0.25">
      <c r="A14" s="25"/>
      <c r="B14" s="25" t="str">
        <f>"Lowest Performing Region: "&amp;INDEX(Sales_Data[Region],MATCH(MIN(Sales_Data[Total_Revenue]),Sales_Data[Total_Revenue],0))</f>
        <v>Lowest Performing Region: North</v>
      </c>
    </row>
    <row r="16" spans="1:2" x14ac:dyDescent="0.25">
      <c r="B16" s="10"/>
    </row>
    <row r="23" spans="1:1" x14ac:dyDescent="0.25">
      <c r="A23" t="s">
        <v>148</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DBCFB4-0D52-4780-8486-0A130CFFFB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Sales_Rep_Info</vt:lpstr>
      <vt:lpstr>Expenses</vt:lpstr>
      <vt:lpstr>Sales_Targets</vt:lpstr>
      <vt:lpstr>Revenue_Analysis</vt:lpstr>
      <vt:lpstr>Sales_Rep_Performance</vt:lpstr>
      <vt:lpstr>Product_Performance</vt:lpstr>
      <vt:lpstr>Dashboard</vt:lpstr>
      <vt:lpstr>Visualizations</vt:lpstr>
      <vt:lpstr>Scenario Summary</vt:lpstr>
      <vt:lpstr>What if analysis</vt:lpstr>
      <vt:lpstr>Sales_Data</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pkpandit182@gmail.com</dc:creator>
  <cp:lastModifiedBy>pkpandit182@gmail.com</cp:lastModifiedBy>
  <dcterms:created xsi:type="dcterms:W3CDTF">2026-02-03T18:12:55Z</dcterms:created>
  <dcterms:modified xsi:type="dcterms:W3CDTF">2026-02-12T10:54:59Z</dcterms:modified>
</cp:coreProperties>
</file>